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Scorecard" sheetId="2" state="visible" r:id="rId4"/>
    <sheet name="Network" sheetId="3" state="visible" r:id="rId5"/>
    <sheet name="Evidence" sheetId="4" state="visible" r:id="rId6"/>
    <sheet name="Concentration" sheetId="5" state="visible" r:id="rId7"/>
    <sheet name="Alerts" sheetId="6" state="visible" r:id="rId8"/>
    <sheet name="Alternates" sheetId="7" state="visible" r:id="rId9"/>
    <sheet name="ActionPlan" sheetId="8" state="visible" r:id="rId10"/>
    <sheet name="Unknowns" sheetId="9" state="visible" r:id="rId11"/>
    <sheet name="Sensitivity" sheetId="10" state="visible" r:id="rId12"/>
    <sheet name="Assumptions" sheetId="11" state="visible" r:id="rId13"/>
    <sheet name="Checks" sheetId="12" state="visible" r:id="rId14"/>
    <sheet name="Data" sheetId="13" state="visible" r:id="rId15"/>
  </sheets>
  <definedNames>
    <definedName function="false" hidden="false" name="ALERT_HIGH" vbProcedure="false">Assumptions!$B$60</definedName>
    <definedName function="false" hidden="false" name="ALERT_LOW" vbProcedure="false">Assumptions!$B$62</definedName>
    <definedName function="false" hidden="false" name="ALERT_MEDIUM" vbProcedure="false">Assumptions!$B$61</definedName>
    <definedName function="false" hidden="false" name="CASE_CUTOFF" vbProcedure="false">Assumptions!$B$64</definedName>
    <definedName function="false" hidden="false" name="RESEARCH_ASOF" vbProcedure="false">Assumptions!$B$65</definedName>
    <definedName function="false" hidden="false" name="STALE_DAYS" vbProcedure="false">Assumptions!$B$63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<sst xmlns="http://schemas.openxmlformats.org/spreadsheetml/2006/main" count="2639" uniqueCount="1429">
  <si>
    <t xml:space="preserve">Project NOVADRIVE – CRO answer on one page</t>
  </si>
  <si>
    <t xml:space="preserve">Management question: Where are our most material supplier-network vulnerabilities, how confident are we, and what practical sourcing options do we have when a supplier becomes a concern?</t>
  </si>
  <si>
    <t xml:space="preserve">1. WHERE ARE WE MOST VULNERABLE?</t>
  </si>
  <si>
    <t xml:space="preserve">(e) Two of the top five (Umber SiC wafers #1, Verdant gases #5) are Tier-3 nodes with sparse data. They rank high because we refuse to treat unknowns as safe – the action is VERIFY, not switch.</t>
  </si>
  <si>
    <t xml:space="preserve">Top-10 priority nodes (live from Scorecard)</t>
  </si>
  <si>
    <t xml:space="preserve">Rank</t>
  </si>
  <si>
    <t xml:space="preserve">Supplier</t>
  </si>
  <si>
    <t xml:space="preserve">Tier</t>
  </si>
  <si>
    <t xml:space="preserve">Zone</t>
  </si>
  <si>
    <t xml:space="preserve">Priority</t>
  </si>
  <si>
    <t xml:space="preserve">Band</t>
  </si>
  <si>
    <t xml:space="preserve">Confidence</t>
  </si>
  <si>
    <t xml:space="preserve">Recommended action</t>
  </si>
  <si>
    <t xml:space="preserve">RaR over TTR ($m)</t>
  </si>
  <si>
    <t xml:space="preserve">2. HOW CONFIDENT ARE WE?</t>
  </si>
  <si>
    <t xml:space="preserve">Biggest unknowns: whether Meridian is Delta's only film source; whether NovaDrive dies are SiC (Umber relevance); inventory at every tier; the zones of NovaDrive's own plants; which lanes use Gulf Arc (Unknowns tab).</t>
  </si>
  <si>
    <t xml:space="preserve">3. WHAT ARE OUR PRACTICAL SOURCING OPTIONS?</t>
  </si>
  <si>
    <t xml:space="preserve">Capacitors (fastest hedge, 8-week qualification): TDK B25696H (Jun-2026) and Vishay MKP1848e (Sep-2025) as a second Tier-1 C20; Toray / Tervakoski as second film for Delta. Steinerfilm US EXCLUDED – plant closed June 2026.</t>
  </si>
  <si>
    <t xml:space="preserve">Power dies / modules: Infineon (bare dies + modules), Mitsubishi 8th-gen NX (May-2026), Fuji X-Series for M10; Vincotech / Infineon SiC for M20. Wolfspeed RESERVE only (fitment 72, Amber risk: emerged from Chapter 11 on 30-Sep-2025). Independent assembler: Semikron Danfoss power stacks (must not use IonPeak dies or Orion ceramics).</t>
  </si>
  <si>
    <t xml:space="preserve">Control boards: second EMS (Sanmina, Celestica, Kitron) – only real once NovaDrive owns the C10 data pack. Substrates outside Z01: Schweizer (small; profitable again in 2025) or TTM Penang.</t>
  </si>
  <si>
    <t xml:space="preserve">Cooling: Boyd (now Eaton, Mar-2026 – watch capacity diverted to data centres) or Wieland Microcool. Full scoring on Alternates tab: fitment and risk screened SEPARATELY.</t>
  </si>
  <si>
    <t xml:space="preserve">4. WHAT WE WOULD DO ON MONDAY</t>
  </si>
  <si>
    <t xml:space="preserve">① Z01 census + pull-forward through the Tier-1s (EV-001).</t>
  </si>
  <si>
    <t xml:space="preserve">② Delta film-source disclosure + C20 buffer ≥ 8 weeks; launch second C20 qualification (EV-003).</t>
  </si>
  <si>
    <t xml:space="preserve">③ N-tier disclosure request for all presumed-sole links.</t>
  </si>
  <si>
    <t xml:space="preserve">④ Secure the C10 data pack from Cobalt; brief two EMS candidates.</t>
  </si>
  <si>
    <t xml:space="preserve">⑤ Open the second power-module platform programme – the only structural fix for the CommonSpan/IonPeak concentration.</t>
  </si>
  <si>
    <t xml:space="preserve">CORRECTIONS TO OUR PRELIMINARY RESEARCH (for the team)</t>
  </si>
  <si>
    <t xml:space="preserve">• EV-010 (Gulf Arc congestion) was missing – now handled as "unknown geography → verify", not ignored.</t>
  </si>
  <si>
    <t xml:space="preserve">• The C20 alternate table actually listed COOLING vendors (Boyd, Wieland, Rogers, Aavid) – real C20 candidates added (TDK, Vishay, KEMET + film makers).</t>
  </si>
  <si>
    <t xml:space="preserve">• Wolfspeed was recommended without a risk screen (Chapter 11, Jun-Sep 2025). Steinerfilm's US closure caught by the recency check.</t>
  </si>
  <si>
    <t xml:space="preserve">• Flood watch was described as "halting" supply – the record says no damage confirmed. Alert language must match the evidence.</t>
  </si>
  <si>
    <t xml:space="preserve">• Missed: Z04 as a second 100%-revenue zone; Lumen/Orion/Kestrel common nodes; Tier-3 not scored; confidence not separated from risk; shipments pre-dating serial approval.</t>
  </si>
  <si>
    <t xml:space="preserve">DATES: the network, scores and alerts are as at the case cut-off (30 Sep 2025). Alternate-supplier research uses current public sources as at 2 Oct 2026, as the handbook requires.</t>
  </si>
  <si>
    <t xml:space="preserve">HOW TO READ THIS WORKBOOK: Answer → Scorecard (priority) → Network &amp; Evidence (why we believe each link) → Concentration → Alerts → Alternates → ActionPlan → Unknowns. Blue = input/judgement, black = formula, green = cross-tab link, yellow = key assumption. Change any weight on Assumptions and everything recalculates.</t>
  </si>
  <si>
    <t xml:space="preserve">Supplier risk scorecard – Impact × Vulnerability, with Confidence kept separate</t>
  </si>
  <si>
    <t xml:space="preserve">Priority = Impact × Vulnerability / 100. Confidence (evidence quality + data completeness + dependency certainty) does NOT change the score – it changes the ACTION (act vs verify).</t>
  </si>
  <si>
    <t xml:space="preserve">IDENTITY &amp; NETWORK ROLE</t>
  </si>
  <si>
    <t xml:space="preserve">RAW INDICATORS (from case data, via Data tab)</t>
  </si>
  <si>
    <t xml:space="preserve">VULNERABILITY / LIKELIHOOD (0-100)</t>
  </si>
  <si>
    <t xml:space="preserve">IMPACT, PRIORITY &amp; RANK</t>
  </si>
  <si>
    <t xml:space="preserve">CONFIDENCE (kept separate) &amp; RECOMMENDED ACTION</t>
  </si>
  <si>
    <t xml:space="preserve">Node ID</t>
  </si>
  <si>
    <t xml:space="preserve">Network role</t>
  </si>
  <si>
    <t xml:space="preserve">Facility</t>
  </si>
  <si>
    <t xml:space="preserve">Dependency status</t>
  </si>
  <si>
    <t xml:space="preserve">Downstream Tier-1s</t>
  </si>
  <si>
    <t xml:space="preserve">TTR (weeks)</t>
  </si>
  <si>
    <t xml:space="preserve">TTR basis</t>
  </si>
  <si>
    <t xml:space="preserve">Current ratio</t>
  </si>
  <si>
    <t xml:space="preserve">Net debt/EBITDA</t>
  </si>
  <si>
    <t xml:space="preserve">OTD 3m %</t>
  </si>
  <si>
    <t xml:space="preserve">OTD Δ pp</t>
  </si>
  <si>
    <t xml:space="preserve">Assurance gap</t>
  </si>
  <si>
    <t xml:space="preserve">Physical hazard</t>
  </si>
  <si>
    <t xml:space="preserve">Logistics friction</t>
  </si>
  <si>
    <t xml:space="preserve">Infrastructure</t>
  </si>
  <si>
    <t xml:space="preserve">Leverage score</t>
  </si>
  <si>
    <t xml:space="preserve">Liquidity score</t>
  </si>
  <si>
    <t xml:space="preserve">OTD score</t>
  </si>
  <si>
    <t xml:space="preserve">OTD trend score</t>
  </si>
  <si>
    <t xml:space="preserve">Leverage used</t>
  </si>
  <si>
    <t xml:space="preserve">Liquidity used</t>
  </si>
  <si>
    <t xml:space="preserve">Assurance used</t>
  </si>
  <si>
    <t xml:space="preserve">Financial</t>
  </si>
  <si>
    <t xml:space="preserve">Operational</t>
  </si>
  <si>
    <t xml:space="preserve">Geographic</t>
  </si>
  <si>
    <t xml:space="preserve">Event overlay (1=yes)</t>
  </si>
  <si>
    <t xml:space="preserve">VULNERABILITY</t>
  </si>
  <si>
    <t xml:space="preserve">Exposure P1</t>
  </si>
  <si>
    <t xml:space="preserve">Exposure P2</t>
  </si>
  <si>
    <t xml:space="preserve">Exposure P3</t>
  </si>
  <si>
    <t xml:space="preserve">Revenue exposed ($m/yr)</t>
  </si>
  <si>
    <t xml:space="preserve">Share of revenue</t>
  </si>
  <si>
    <t xml:space="preserve">Weekly revenue exposed ($m)</t>
  </si>
  <si>
    <t xml:space="preserve">Revenue-at-risk over TTR ($m)</t>
  </si>
  <si>
    <t xml:space="preserve">Recovery score</t>
  </si>
  <si>
    <t xml:space="preserve">Centrality score</t>
  </si>
  <si>
    <t xml:space="preserve">IMPACT</t>
  </si>
  <si>
    <t xml:space="preserve">PRIORITY</t>
  </si>
  <si>
    <t xml:space="preserve">Quadrant</t>
  </si>
  <si>
    <t xml:space="preserve">Link grade pts</t>
  </si>
  <si>
    <t xml:space="preserve">Indicators available (of 8)</t>
  </si>
  <si>
    <t xml:space="preserve">Data pts</t>
  </si>
  <si>
    <t xml:space="preserve">Dependency pts</t>
  </si>
  <si>
    <t xml:space="preserve">Confidence pts</t>
  </si>
  <si>
    <t xml:space="preserve">CONFIDENCE</t>
  </si>
  <si>
    <t xml:space="preserve">Missing data (imputed)</t>
  </si>
  <si>
    <t xml:space="preserve">ORG-247</t>
  </si>
  <si>
    <t xml:space="preserve">Tier-1: M10 (60%) &amp; M20 (70%)</t>
  </si>
  <si>
    <t xml:space="preserve">Partial (60/70%) – shares owner with Boreal</t>
  </si>
  <si>
    <t xml:space="preserve">Case: M10/M20 qualification lead time 16 wks</t>
  </si>
  <si>
    <t xml:space="preserve">ORG-725</t>
  </si>
  <si>
    <t xml:space="preserve">Tier-1: M10 (40%) &amp; M20 (30%)</t>
  </si>
  <si>
    <t xml:space="preserve">Partial (40/30%) – shares owner with Aster</t>
  </si>
  <si>
    <t xml:space="preserve">ORG-119</t>
  </si>
  <si>
    <t xml:space="preserve">Tier-1: C10 control board, all products</t>
  </si>
  <si>
    <t xml:space="preserve">Confirmed sole (100% allocation)</t>
  </si>
  <si>
    <t xml:space="preserve">Case: C10 qualification 12 wks</t>
  </si>
  <si>
    <t xml:space="preserve">ORG-922</t>
  </si>
  <si>
    <t xml:space="preserve">Tier-1: C20 DC-link capacitor (P1,P2)</t>
  </si>
  <si>
    <t xml:space="preserve">Case: C20 qualification 8 wks</t>
  </si>
  <si>
    <t xml:space="preserve">ORG-786</t>
  </si>
  <si>
    <t xml:space="preserve">Tier-1: H20 cooling (P2,P3)</t>
  </si>
  <si>
    <t xml:space="preserve">Case: H20 qualification 6 wks</t>
  </si>
  <si>
    <t xml:space="preserve">ORG-287</t>
  </si>
  <si>
    <t xml:space="preserve">Tier-1: H10 housing (P1)</t>
  </si>
  <si>
    <t xml:space="preserve">Case: H10 qualification 4 wks</t>
  </si>
  <si>
    <t xml:space="preserve">ORG-103</t>
  </si>
  <si>
    <t xml:space="preserve">Tier-1: B10 battery board (80%)</t>
  </si>
  <si>
    <t xml:space="preserve">Majority (80%)</t>
  </si>
  <si>
    <t xml:space="preserve">Case: B10 qualification 12 wks</t>
  </si>
  <si>
    <t xml:space="preserve">ORG-176</t>
  </si>
  <si>
    <t xml:space="preserve">Tier-1: B10 battery board (20%)</t>
  </si>
  <si>
    <t xml:space="preserve">Minority (20%)</t>
  </si>
  <si>
    <t xml:space="preserve">ORG-268</t>
  </si>
  <si>
    <t xml:space="preserve">GROUP NODE: CommonSpan = owner of Aster + Boreal (100% of M10/M20)</t>
  </si>
  <si>
    <t xml:space="preserve">SITE-018 + SITE-025</t>
  </si>
  <si>
    <t xml:space="preserve">Z02/Z05</t>
  </si>
  <si>
    <t xml:space="preserve">Confirmed – common owner (DOC-075)</t>
  </si>
  <si>
    <t xml:space="preserve">Replacing both assemblers = full new M10/M20 qualification (16 wks minimum). Scored on parent's own indicators.</t>
  </si>
  <si>
    <t xml:space="preserve">ORG-439</t>
  </si>
  <si>
    <t xml:space="preserve">Tier-2: power dies → Aster &amp; Boreal</t>
  </si>
  <si>
    <t xml:space="preserve">Confirmed sole (DOC-078)</t>
  </si>
  <si>
    <t xml:space="preserve">No second die qualified (DOC-078). Alternate die/module requal 26-52 wks (team research) – mid-point</t>
  </si>
  <si>
    <t xml:space="preserve">ORG-453</t>
  </si>
  <si>
    <t xml:space="preserve">Tier-2: PCB substrates → Cobalt, Grove, HarborSense</t>
  </si>
  <si>
    <t xml:space="preserve">Confirmed sole (DOC-079)</t>
  </si>
  <si>
    <t xml:space="preserve">Assumption: requalifying a PCB fab ≈ board qualification (12 wks)</t>
  </si>
  <si>
    <t xml:space="preserve">ORG-728</t>
  </si>
  <si>
    <t xml:space="preserve">Tier-2: MCUs → Cobalt, Grove</t>
  </si>
  <si>
    <t xml:space="preserve">Presumed sole – not disclosed</t>
  </si>
  <si>
    <t xml:space="preserve">Assumption: MCU change = firmware port + revalidation (~6 months)</t>
  </si>
  <si>
    <t xml:space="preserve">ORG-942</t>
  </si>
  <si>
    <t xml:space="preserve">Tier-2: magnetic cores → Aster &amp; Boreal</t>
  </si>
  <si>
    <t xml:space="preserve">Assumption: core change revalidated inside assembly</t>
  </si>
  <si>
    <t xml:space="preserve">ORG-708</t>
  </si>
  <si>
    <t xml:space="preserve">Tier-2: ceramic substrates → Aster &amp; Boreal</t>
  </si>
  <si>
    <t xml:space="preserve">Assumption: substrate change forces module reliability requal (&gt;16 wks)</t>
  </si>
  <si>
    <t xml:space="preserve">ORG-469</t>
  </si>
  <si>
    <t xml:space="preserve">Tier-2: connectors → Cobalt</t>
  </si>
  <si>
    <t xml:space="preserve">Assumption: connectors are usually form-fit multi-sourceable</t>
  </si>
  <si>
    <t xml:space="preserve">ORG-210</t>
  </si>
  <si>
    <t xml:space="preserve">Tier-2: dielectric film → Delta (C20)</t>
  </si>
  <si>
    <t xml:space="preserve">Assumption: film change needs capacitor requal at Delta (8 wks) + film validation</t>
  </si>
  <si>
    <t xml:space="preserve">ORG-849</t>
  </si>
  <si>
    <t xml:space="preserve">Tier-2: aluminium foil → Delta (C20)</t>
  </si>
  <si>
    <t xml:space="preserve">Assumption: foil change ≈ C20 requal</t>
  </si>
  <si>
    <t xml:space="preserve">ORG-274</t>
  </si>
  <si>
    <t xml:space="preserve">Tier-2: thermal metals → Estuary (H20)</t>
  </si>
  <si>
    <t xml:space="preserve">Assumption: commodity metal, short requal</t>
  </si>
  <si>
    <t xml:space="preserve">ORG-329</t>
  </si>
  <si>
    <t xml:space="preserve">Tier-2: aluminium alloy → ForgeLine (H10)</t>
  </si>
  <si>
    <t xml:space="preserve">Assumption: commodity alloy, short requal</t>
  </si>
  <si>
    <t xml:space="preserve">ORG-455</t>
  </si>
  <si>
    <t xml:space="preserve">Tier-3: SiC wafers → IonPeak</t>
  </si>
  <si>
    <t xml:space="preserve">Assumption: tied to die requalification</t>
  </si>
  <si>
    <t xml:space="preserve">ORG-736</t>
  </si>
  <si>
    <t xml:space="preserve">Tier-3: process gases → IonPeak (inferred)</t>
  </si>
  <si>
    <t xml:space="preserve">Inferred link only</t>
  </si>
  <si>
    <t xml:space="preserve">Assumption: fab gas-supplier switch</t>
  </si>
  <si>
    <t xml:space="preserve">ORG-520</t>
  </si>
  <si>
    <t xml:space="preserve">Tier-3: specialty minerals → Orion</t>
  </si>
  <si>
    <t xml:space="preserve">Assumption</t>
  </si>
  <si>
    <t xml:space="preserve">ORG-873</t>
  </si>
  <si>
    <t xml:space="preserve">Tier-3: copper foil → Jade</t>
  </si>
  <si>
    <t xml:space="preserve">ORG-179</t>
  </si>
  <si>
    <t xml:space="preserve">Tier-3: resin → Jade</t>
  </si>
  <si>
    <t xml:space="preserve">ORG-659</t>
  </si>
  <si>
    <t xml:space="preserve">Tier-3: polymer → Meridian</t>
  </si>
  <si>
    <t xml:space="preserve">Notes</t>
  </si>
  <si>
    <t xml:space="preserve">Exposure = share of each product's volume that would stop if the node failed and no buffer existed. Tier-1 = allocation; upstream nodes inherit their customers' exposure (capped at 100%). Presumed-sole links are treated as single-sourced (upper bound) until verified – consistent with "missing ≠ low risk".</t>
  </si>
  <si>
    <t xml:space="preserve">Revenue-at-risk over TTR = weekly revenue exposed × time-to-recover. Gross revenue, no inventory buffer (none disclosed) – an upper bound for sizing, not a forecast.</t>
  </si>
  <si>
    <t xml:space="preserve">Group node ORG-268 (CommonSpan) shows the true M10/M20 concentration hidden by the Aster/Boreal "dual source". It is scored on the parent's own indicators.</t>
  </si>
  <si>
    <t xml:space="preserve">Event overlay: +points only where an event independently confirms entity-level stress (EV-003 → Meridian). Zone watches (EV-001) are handled on the Alerts tab, not baked into the structural score.</t>
  </si>
  <si>
    <t xml:space="preserve">Holding company / logistics entities (Jade Holdings, Harbor Freight) are context nodes – shown on Network tab, not scored as suppliers.</t>
  </si>
  <si>
    <t xml:space="preserve">Reconstructed supplier network (Tier-1 → Tier-3) with evidence grade</t>
  </si>
  <si>
    <t xml:space="preserve">Rows are grouped by supplier tier so exposure formulas flow upward without circular references. Exposure columns = share of each product's volume that depends on this link.</t>
  </si>
  <si>
    <t xml:space="preserve">Link</t>
  </si>
  <si>
    <t xml:space="preserve">Link type</t>
  </si>
  <si>
    <t xml:space="preserve">Supplier tier</t>
  </si>
  <si>
    <t xml:space="preserve">Supplier ID</t>
  </si>
  <si>
    <t xml:space="preserve">Customer ID</t>
  </si>
  <si>
    <t xml:space="preserve">Customer</t>
  </si>
  <si>
    <t xml:space="preserve">Component / input</t>
  </si>
  <si>
    <t xml:space="preserve">Products</t>
  </si>
  <si>
    <t xml:space="preserve">P1</t>
  </si>
  <si>
    <t xml:space="preserve">P2</t>
  </si>
  <si>
    <t xml:space="preserve">P3</t>
  </si>
  <si>
    <t xml:space="preserve">Allocation</t>
  </si>
  <si>
    <t xml:space="preserve">Supplier site</t>
  </si>
  <si>
    <t xml:space="preserve">Site zone</t>
  </si>
  <si>
    <t xml:space="preserve">Evidence IDs</t>
  </si>
  <si>
    <t xml:space="preserve">Independent source families</t>
  </si>
  <si>
    <t xml:space="preserve">Link status</t>
  </si>
  <si>
    <t xml:space="preserve">Grade</t>
  </si>
  <si>
    <t xml:space="preserve">Grade pts</t>
  </si>
  <si>
    <t xml:space="preserve">Include in exposure</t>
  </si>
  <si>
    <t xml:space="preserve">Exp P1</t>
  </si>
  <si>
    <t xml:space="preserve">Exp P2</t>
  </si>
  <si>
    <t xml:space="preserve">Exp P3</t>
  </si>
  <si>
    <t xml:space="preserve">L01</t>
  </si>
  <si>
    <t xml:space="preserve">Tier-1 supply</t>
  </si>
  <si>
    <t xml:space="preserve">Aster Power Assemblies Ltd.</t>
  </si>
  <si>
    <t xml:space="preserve">NOVADRIVE</t>
  </si>
  <si>
    <t xml:space="preserve">NovaDrive Technologies</t>
  </si>
  <si>
    <t xml:space="preserve">M10</t>
  </si>
  <si>
    <t xml:space="preserve">P1,P3</t>
  </si>
  <si>
    <t xml:space="preserve">SITE-018</t>
  </si>
  <si>
    <t xml:space="preserve">Z02</t>
  </si>
  <si>
    <t xml:space="preserve">DOC-001; DOC-002; SHP-00002</t>
  </si>
  <si>
    <t xml:space="preserve">Confirmed</t>
  </si>
  <si>
    <t xml:space="preserve">A</t>
  </si>
  <si>
    <t xml:space="preserve">Allocation is a planning share, not realised deliveries.</t>
  </si>
  <si>
    <t xml:space="preserve">L02</t>
  </si>
  <si>
    <t xml:space="preserve">M20</t>
  </si>
  <si>
    <t xml:space="preserve">DOC-003; DOC-004</t>
  </si>
  <si>
    <t xml:space="preserve">L03</t>
  </si>
  <si>
    <t xml:space="preserve">Boreal Power Systems Ltd.</t>
  </si>
  <si>
    <t xml:space="preserve">SITE-025</t>
  </si>
  <si>
    <t xml:space="preserve">Z05</t>
  </si>
  <si>
    <t xml:space="preserve">DOC-005; DOC-006; SHP-00025</t>
  </si>
  <si>
    <t xml:space="preserve">L04</t>
  </si>
  <si>
    <t xml:space="preserve">DOC-007; DOC-008</t>
  </si>
  <si>
    <t xml:space="preserve">L05</t>
  </si>
  <si>
    <t xml:space="preserve">Cobalt Control Electronics Ltd.</t>
  </si>
  <si>
    <t xml:space="preserve">C10</t>
  </si>
  <si>
    <t xml:space="preserve">P1,P2,P3</t>
  </si>
  <si>
    <t xml:space="preserve">SITE-032</t>
  </si>
  <si>
    <t xml:space="preserve">Z04</t>
  </si>
  <si>
    <t xml:space="preserve">DOC-009; DOC-010; SHP-00050</t>
  </si>
  <si>
    <t xml:space="preserve">Sole Tier-1 source (100% allocation).</t>
  </si>
  <si>
    <t xml:space="preserve">L06</t>
  </si>
  <si>
    <t xml:space="preserve">Delta Capacitor Works Ltd.</t>
  </si>
  <si>
    <t xml:space="preserve">C20</t>
  </si>
  <si>
    <t xml:space="preserve">P1,P2</t>
  </si>
  <si>
    <t xml:space="preserve">SITE-039</t>
  </si>
  <si>
    <t xml:space="preserve">Z03</t>
  </si>
  <si>
    <t xml:space="preserve">DOC-011; DOC-012; SHP-00062</t>
  </si>
  <si>
    <t xml:space="preserve">L07</t>
  </si>
  <si>
    <t xml:space="preserve">Estuary Thermal Systems Ltd.</t>
  </si>
  <si>
    <t xml:space="preserve">H20</t>
  </si>
  <si>
    <t xml:space="preserve">P2,P3</t>
  </si>
  <si>
    <t xml:space="preserve">SITE-046</t>
  </si>
  <si>
    <t xml:space="preserve">Z06</t>
  </si>
  <si>
    <t xml:space="preserve">DOC-013; DOC-014</t>
  </si>
  <si>
    <t xml:space="preserve">L08</t>
  </si>
  <si>
    <t xml:space="preserve">ForgeLine Enclosures Ltd.</t>
  </si>
  <si>
    <t xml:space="preserve">H10</t>
  </si>
  <si>
    <t xml:space="preserve">SITE-053</t>
  </si>
  <si>
    <t xml:space="preserve">DOC-015; DOC-016</t>
  </si>
  <si>
    <t xml:space="preserve">L09</t>
  </si>
  <si>
    <t xml:space="preserve">Grove Battery Controls Ltd.</t>
  </si>
  <si>
    <t xml:space="preserve">B10</t>
  </si>
  <si>
    <t xml:space="preserve">SITE-060</t>
  </si>
  <si>
    <t xml:space="preserve">DOC-017; DOC-018</t>
  </si>
  <si>
    <t xml:space="preserve">L10</t>
  </si>
  <si>
    <t xml:space="preserve">HarborSense Electronics Ltd.</t>
  </si>
  <si>
    <t xml:space="preserve">SITE-067</t>
  </si>
  <si>
    <t xml:space="preserve">DOC-019; DOC-020</t>
  </si>
  <si>
    <t xml:space="preserve">L11</t>
  </si>
  <si>
    <t xml:space="preserve">Tier-2 supply</t>
  </si>
  <si>
    <t xml:space="preserve">IonPeak Semiconductor Ltd.</t>
  </si>
  <si>
    <t xml:space="preserve">Power semiconductor dies → M10/M20</t>
  </si>
  <si>
    <t xml:space="preserve">SITE-074</t>
  </si>
  <si>
    <t xml:space="preserve">Z01</t>
  </si>
  <si>
    <t xml:space="preserve">DOC-021; DOC-077; DOC-078; (SHP-00125)</t>
  </si>
  <si>
    <t xml:space="preserve">Sole qualified die source for BOTH assemblers (DOC-078).</t>
  </si>
  <si>
    <t xml:space="preserve">L12</t>
  </si>
  <si>
    <t xml:space="preserve">DOC-023; DOC-077; DOC-078</t>
  </si>
  <si>
    <t xml:space="preserve">Same die family as Aster – no independence.</t>
  </si>
  <si>
    <t xml:space="preserve">L13</t>
  </si>
  <si>
    <t xml:space="preserve">Lumen Magnetics Ltd.</t>
  </si>
  <si>
    <t xml:space="preserve">Magnetic cores → M10/M20</t>
  </si>
  <si>
    <t xml:space="preserve">SITE-095</t>
  </si>
  <si>
    <t xml:space="preserve">DOC-035</t>
  </si>
  <si>
    <t xml:space="preserve">B</t>
  </si>
  <si>
    <t xml:space="preserve">Common to both assemblers; sole status not disclosed.</t>
  </si>
  <si>
    <t xml:space="preserve">L14</t>
  </si>
  <si>
    <t xml:space="preserve">DOC-037</t>
  </si>
  <si>
    <t xml:space="preserve">L15</t>
  </si>
  <si>
    <t xml:space="preserve">Orion Ceramics Ltd.</t>
  </si>
  <si>
    <t xml:space="preserve">Ceramic substrates → M10/M20</t>
  </si>
  <si>
    <t xml:space="preserve">SITE-116</t>
  </si>
  <si>
    <t xml:space="preserve">DOC-043</t>
  </si>
  <si>
    <t xml:space="preserve">Common to both assemblers; Z01 site.</t>
  </si>
  <si>
    <t xml:space="preserve">L16</t>
  </si>
  <si>
    <t xml:space="preserve">DOC-045</t>
  </si>
  <si>
    <t xml:space="preserve">L17</t>
  </si>
  <si>
    <t xml:space="preserve">Jade Printed Circuits Ltd.</t>
  </si>
  <si>
    <t xml:space="preserve">Printed circuit substrates → C10</t>
  </si>
  <si>
    <t xml:space="preserve">SITE-081</t>
  </si>
  <si>
    <t xml:space="preserve">DOC-025; DOC-079</t>
  </si>
  <si>
    <t xml:space="preserve">Programme-specific; no qualified alternative (DOC-079).</t>
  </si>
  <si>
    <t xml:space="preserve">L18</t>
  </si>
  <si>
    <t xml:space="preserve">Printed circuit substrates → B10</t>
  </si>
  <si>
    <t xml:space="preserve">DOC-027; DOC-079</t>
  </si>
  <si>
    <t xml:space="preserve">L19</t>
  </si>
  <si>
    <t xml:space="preserve">DOC-029; DOC-079</t>
  </si>
  <si>
    <t xml:space="preserve">Makes B10 80/20 split illusory at substrate level.</t>
  </si>
  <si>
    <t xml:space="preserve">L20</t>
  </si>
  <si>
    <t xml:space="preserve">Kestrel Microdevices Ltd.</t>
  </si>
  <si>
    <t xml:space="preserve">Microcontrollers → C10</t>
  </si>
  <si>
    <t xml:space="preserve">SITE-088</t>
  </si>
  <si>
    <t xml:space="preserve">DOC-031</t>
  </si>
  <si>
    <t xml:space="preserve">MCU swap = firmware port (long TTR).</t>
  </si>
  <si>
    <t xml:space="preserve">L21</t>
  </si>
  <si>
    <t xml:space="preserve">Microcontrollers → B10</t>
  </si>
  <si>
    <t xml:space="preserve">DOC-033</t>
  </si>
  <si>
    <t xml:space="preserve">HarborSense MCU source not disclosed.</t>
  </si>
  <si>
    <t xml:space="preserve">L22</t>
  </si>
  <si>
    <t xml:space="preserve">Rill Connectors Ltd.</t>
  </si>
  <si>
    <t xml:space="preserve">Connectors → C10</t>
  </si>
  <si>
    <t xml:space="preserve">SITE-137</t>
  </si>
  <si>
    <t xml:space="preserve">DOC-051</t>
  </si>
  <si>
    <t xml:space="preserve">L23</t>
  </si>
  <si>
    <t xml:space="preserve">Meridian Dielectrics Ltd.</t>
  </si>
  <si>
    <t xml:space="preserve">Dielectric film → C20</t>
  </si>
  <si>
    <t xml:space="preserve">SITE-102</t>
  </si>
  <si>
    <t xml:space="preserve">DOC-039</t>
  </si>
  <si>
    <t xml:space="preserve">Financially distressed (EV-003). Whether Delta has a 2nd film source is UNKNOWN.</t>
  </si>
  <si>
    <t xml:space="preserve">L24</t>
  </si>
  <si>
    <t xml:space="preserve">Nacre Foils Ltd.</t>
  </si>
  <si>
    <t xml:space="preserve">Aluminum foil → C20</t>
  </si>
  <si>
    <t xml:space="preserve">SITE-109</t>
  </si>
  <si>
    <t xml:space="preserve">DOC-041</t>
  </si>
  <si>
    <t xml:space="preserve">L25</t>
  </si>
  <si>
    <t xml:space="preserve">Pine Thermal Metals Ltd.</t>
  </si>
  <si>
    <t xml:space="preserve">Thermal metals → H20</t>
  </si>
  <si>
    <t xml:space="preserve">SITE-123</t>
  </si>
  <si>
    <t xml:space="preserve">DOC-047</t>
  </si>
  <si>
    <t xml:space="preserve">L26</t>
  </si>
  <si>
    <t xml:space="preserve">Quartz Alloy Ltd.</t>
  </si>
  <si>
    <t xml:space="preserve">Aluminum alloy → H10</t>
  </si>
  <si>
    <t xml:space="preserve">SITE-130</t>
  </si>
  <si>
    <t xml:space="preserve">DOC-049</t>
  </si>
  <si>
    <t xml:space="preserve">L27</t>
  </si>
  <si>
    <t xml:space="preserve">Tier-3 supply</t>
  </si>
  <si>
    <t xml:space="preserve">Umber Silicon Carbide Ltd.</t>
  </si>
  <si>
    <t xml:space="preserve">Silicon-carbide wafers → M10/M20</t>
  </si>
  <si>
    <t xml:space="preserve">SITE-158</t>
  </si>
  <si>
    <t xml:space="preserve">DOC-056</t>
  </si>
  <si>
    <t xml:space="preserve">Relevance depends on whether NovaDrive die family is SiC or Si IGBT – verify.</t>
  </si>
  <si>
    <t xml:space="preserve">L28</t>
  </si>
  <si>
    <t xml:space="preserve">Verdant Process Gases Ltd.</t>
  </si>
  <si>
    <t xml:space="preserve">Process gases → M10/M20</t>
  </si>
  <si>
    <t xml:space="preserve">SITE-165</t>
  </si>
  <si>
    <t xml:space="preserve">DOC-058</t>
  </si>
  <si>
    <t xml:space="preserve">Inferred</t>
  </si>
  <si>
    <t xml:space="preserve">C</t>
  </si>
  <si>
    <t xml:space="preserve">Customer index only; receiving line not identified.</t>
  </si>
  <si>
    <t xml:space="preserve">L29</t>
  </si>
  <si>
    <t xml:space="preserve">Yarrow Specialty Minerals Ltd.</t>
  </si>
  <si>
    <t xml:space="preserve">Specialty minerals → M10/M20</t>
  </si>
  <si>
    <t xml:space="preserve">SITE-186</t>
  </si>
  <si>
    <t xml:space="preserve">Z08</t>
  </si>
  <si>
    <t xml:space="preserve">DOC-066</t>
  </si>
  <si>
    <t xml:space="preserve">L30</t>
  </si>
  <si>
    <t xml:space="preserve">Warden Copper Foil Ltd.</t>
  </si>
  <si>
    <t xml:space="preserve">Copper foil → C10/B10</t>
  </si>
  <si>
    <t xml:space="preserve">SITE-172</t>
  </si>
  <si>
    <t xml:space="preserve">DOC-060</t>
  </si>
  <si>
    <t xml:space="preserve">L31</t>
  </si>
  <si>
    <t xml:space="preserve">Xenon Resin Ltd.</t>
  </si>
  <si>
    <t xml:space="preserve">Resin → C10/B10</t>
  </si>
  <si>
    <t xml:space="preserve">SITE-179</t>
  </si>
  <si>
    <t xml:space="preserve">DOC-064</t>
  </si>
  <si>
    <t xml:space="preserve">L32</t>
  </si>
  <si>
    <t xml:space="preserve">Zenith Polymer Ltd.</t>
  </si>
  <si>
    <t xml:space="preserve">Polymer → C20</t>
  </si>
  <si>
    <t xml:space="preserve">SITE-193</t>
  </si>
  <si>
    <t xml:space="preserve">DOC-070</t>
  </si>
  <si>
    <t xml:space="preserve">Feeds the distressed Meridian.</t>
  </si>
  <si>
    <t xml:space="preserve">L33</t>
  </si>
  <si>
    <t xml:space="preserve">Hypothesis</t>
  </si>
  <si>
    <t xml:space="preserve">—</t>
  </si>
  <si>
    <t xml:space="preserve">ORG-320</t>
  </si>
  <si>
    <t xml:space="preserve">Solace Optics Ltd.</t>
  </si>
  <si>
    <t xml:space="preserve">Isolation optics (sample only)</t>
  </si>
  <si>
    <t xml:space="preserve">SITE-144</t>
  </si>
  <si>
    <t xml:space="preserve">DOC-085</t>
  </si>
  <si>
    <t xml:space="preserve">D</t>
  </si>
  <si>
    <t xml:space="preserve">Sample evaluation, no serial award. Not in exposure.</t>
  </si>
  <si>
    <t xml:space="preserve">L34</t>
  </si>
  <si>
    <t xml:space="preserve">ORG-ALDER</t>
  </si>
  <si>
    <t xml:space="preserve">Alder Bauxite Ltd. (not in universe)</t>
  </si>
  <si>
    <t xml:space="preserve">Bauxite</t>
  </si>
  <si>
    <t xml:space="preserve">DOC-074; DOC-086</t>
  </si>
  <si>
    <t xml:space="preserve">Directory lead only; Quartz upstream unverified.</t>
  </si>
  <si>
    <t xml:space="preserve">L35</t>
  </si>
  <si>
    <t xml:space="preserve">Ownership</t>
  </si>
  <si>
    <t xml:space="preserve">CommonSpan Holdings Ltd.</t>
  </si>
  <si>
    <t xml:space="preserve">Controls (subsidiary)</t>
  </si>
  <si>
    <t xml:space="preserve">M10/M20</t>
  </si>
  <si>
    <t xml:space="preserve">SITE-221</t>
  </si>
  <si>
    <t xml:space="preserve">DOC-075</t>
  </si>
  <si>
    <t xml:space="preserve">Context</t>
  </si>
  <si>
    <t xml:space="preserve">Same ultimate owner as Boreal.</t>
  </si>
  <si>
    <t xml:space="preserve">L36</t>
  </si>
  <si>
    <t xml:space="preserve">Same ultimate owner as Aster.</t>
  </si>
  <si>
    <t xml:space="preserve">L37</t>
  </si>
  <si>
    <t xml:space="preserve">ORG-445</t>
  </si>
  <si>
    <t xml:space="preserve">Jade Circuits Holdings Ltd.</t>
  </si>
  <si>
    <t xml:space="preserve">Accounting parent</t>
  </si>
  <si>
    <t xml:space="preserve">C10/B10</t>
  </si>
  <si>
    <t xml:space="preserve">SITE-214</t>
  </si>
  <si>
    <t xml:space="preserve">Z07</t>
  </si>
  <si>
    <t xml:space="preserve">DOC-076</t>
  </si>
  <si>
    <t xml:space="preserve">HQ SITE-901 (Z07) does not manufacture.</t>
  </si>
  <si>
    <t xml:space="preserve">L38</t>
  </si>
  <si>
    <t xml:space="preserve">Logistics</t>
  </si>
  <si>
    <t xml:space="preserve">ORG-328</t>
  </si>
  <si>
    <t xml:space="preserve">Harbor Freight Services Ltd.</t>
  </si>
  <si>
    <t xml:space="preserve">Consolidator for power dies</t>
  </si>
  <si>
    <t xml:space="preserve">SITE-242</t>
  </si>
  <si>
    <t xml:space="preserve">SHP-00125; DOC-083</t>
  </si>
  <si>
    <t xml:space="preserve">Logistics dependency on the die path into Aster.</t>
  </si>
  <si>
    <t xml:space="preserve">L39</t>
  </si>
  <si>
    <t xml:space="preserve">Rejected</t>
  </si>
  <si>
    <t xml:space="preserve">Housings H10 (2022 pilot)</t>
  </si>
  <si>
    <t xml:space="preserve">DOC-080</t>
  </si>
  <si>
    <t xml:space="preserve">Expired 31-Dec-2023.</t>
  </si>
  <si>
    <t xml:space="preserve">L40</t>
  </si>
  <si>
    <t xml:space="preserve">ORG-857</t>
  </si>
  <si>
    <t xml:space="preserve">Delta Consumer Plastics Ltd.</t>
  </si>
  <si>
    <t xml:space="preserve">Retail packaging trial</t>
  </si>
  <si>
    <t xml:space="preserve">SITE-249</t>
  </si>
  <si>
    <t xml:space="preserve">DOC-084; SHP-00438</t>
  </si>
  <si>
    <t xml:space="preserve">Wrong entity / not production.</t>
  </si>
  <si>
    <t xml:space="preserve">L41</t>
  </si>
  <si>
    <t xml:space="preserve">ORG-309</t>
  </si>
  <si>
    <t xml:space="preserve">Ion Peak Trading Ltd.</t>
  </si>
  <si>
    <t xml:space="preserve">No relationship</t>
  </si>
  <si>
    <t xml:space="preserve">SITE-207</t>
  </si>
  <si>
    <t xml:space="preserve">DOC-077</t>
  </si>
  <si>
    <t xml:space="preserve">Ion Peak Trading ≠ IonPeak Semiconductor.</t>
  </si>
  <si>
    <t xml:space="preserve">Evidence ledger – every record graded before it is allowed into the network</t>
  </si>
  <si>
    <t xml:space="preserve">Rules: check legal entity, facility, component, date and programme scope; count each Source Family once; shipments corroborate but never set shares.</t>
  </si>
  <si>
    <t xml:space="preserve">Evidence ID</t>
  </si>
  <si>
    <t xml:space="preserve">Date</t>
  </si>
  <si>
    <t xml:space="preserve">Type</t>
  </si>
  <si>
    <t xml:space="preserve">Source family</t>
  </si>
  <si>
    <t xml:space="preserve">Title / parties</t>
  </si>
  <si>
    <t xml:space="preserve">Record status</t>
  </si>
  <si>
    <t xml:space="preserve">Verdict</t>
  </si>
  <si>
    <t xml:space="preserve">Used for</t>
  </si>
  <si>
    <t xml:space="preserve">Reasoning (entity / site / component / date / scope test)</t>
  </si>
  <si>
    <t xml:space="preserve">DOC-001</t>
  </si>
  <si>
    <t xml:space="preserve">2025-08-14</t>
  </si>
  <si>
    <t xml:space="preserve">Company program disclosure</t>
  </si>
  <si>
    <t xml:space="preserve">PROG-001</t>
  </si>
  <si>
    <t xml:space="preserve">Aster Power Assemblies / NovaDrive Technologies program disclosure</t>
  </si>
  <si>
    <t xml:space="preserve">Current disclosure</t>
  </si>
  <si>
    <t xml:space="preserve">Accept – primary</t>
  </si>
  <si>
    <t xml:space="preserve">Tier-1 link</t>
  </si>
  <si>
    <t xml:space="preserve">Named NovaDrive production award/qualification; entity, site, component, 2025-26 scope all match. Programme disclosure (PROG) and qualification register (QUAL) are different source families → independent.</t>
  </si>
  <si>
    <t xml:space="preserve">DOC-002</t>
  </si>
  <si>
    <t xml:space="preserve">2025-06-12</t>
  </si>
  <si>
    <t xml:space="preserve">Qualification register</t>
  </si>
  <si>
    <t xml:space="preserve">QUAL-001</t>
  </si>
  <si>
    <t xml:space="preserve">Production qualification: Aster Power Assemblies to NovaDrive Technologies</t>
  </si>
  <si>
    <t xml:space="preserve">DOC-003</t>
  </si>
  <si>
    <t xml:space="preserve">PROG-002</t>
  </si>
  <si>
    <t xml:space="preserve">DOC-004</t>
  </si>
  <si>
    <t xml:space="preserve">QUAL-002</t>
  </si>
  <si>
    <t xml:space="preserve">DOC-005</t>
  </si>
  <si>
    <t xml:space="preserve">PROG-003</t>
  </si>
  <si>
    <t xml:space="preserve">Boreal Power Systems / NovaDrive Technologies program disclosure</t>
  </si>
  <si>
    <t xml:space="preserve">DOC-006</t>
  </si>
  <si>
    <t xml:space="preserve">QUAL-003</t>
  </si>
  <si>
    <t xml:space="preserve">Production qualification: Boreal Power Systems to NovaDrive Technologies</t>
  </si>
  <si>
    <t xml:space="preserve">DOC-007</t>
  </si>
  <si>
    <t xml:space="preserve">PROG-004</t>
  </si>
  <si>
    <t xml:space="preserve">DOC-008</t>
  </si>
  <si>
    <t xml:space="preserve">QUAL-004</t>
  </si>
  <si>
    <t xml:space="preserve">DOC-009</t>
  </si>
  <si>
    <t xml:space="preserve">PROG-005</t>
  </si>
  <si>
    <t xml:space="preserve">Cobalt Control Electronics / NovaDrive Technologies program disclosure</t>
  </si>
  <si>
    <t xml:space="preserve">DOC-010</t>
  </si>
  <si>
    <t xml:space="preserve">QUAL-005</t>
  </si>
  <si>
    <t xml:space="preserve">Production qualification: Cobalt Control Electronics to NovaDrive Technologies</t>
  </si>
  <si>
    <t xml:space="preserve">DOC-011</t>
  </si>
  <si>
    <t xml:space="preserve">PROG-006</t>
  </si>
  <si>
    <t xml:space="preserve">Delta Capacitor Works / NovaDrive Technologies program disclosure</t>
  </si>
  <si>
    <t xml:space="preserve">DOC-012</t>
  </si>
  <si>
    <t xml:space="preserve">QUAL-006</t>
  </si>
  <si>
    <t xml:space="preserve">Production qualification: Delta Capacitor Works to NovaDrive Technologies</t>
  </si>
  <si>
    <t xml:space="preserve">DOC-013</t>
  </si>
  <si>
    <t xml:space="preserve">PROG-007</t>
  </si>
  <si>
    <t xml:space="preserve">Estuary Thermal Systems / NovaDrive Technologies program disclosure</t>
  </si>
  <si>
    <t xml:space="preserve">DOC-014</t>
  </si>
  <si>
    <t xml:space="preserve">QUAL-007</t>
  </si>
  <si>
    <t xml:space="preserve">Production qualification: Estuary Thermal Systems to NovaDrive Technologies</t>
  </si>
  <si>
    <t xml:space="preserve">DOC-015</t>
  </si>
  <si>
    <t xml:space="preserve">PROG-008</t>
  </si>
  <si>
    <t xml:space="preserve">ForgeLine Enclosures / NovaDrive Technologies program disclosure</t>
  </si>
  <si>
    <t xml:space="preserve">DOC-016</t>
  </si>
  <si>
    <t xml:space="preserve">QUAL-008</t>
  </si>
  <si>
    <t xml:space="preserve">Production qualification: ForgeLine Enclosures to NovaDrive Technologies</t>
  </si>
  <si>
    <t xml:space="preserve">DOC-017</t>
  </si>
  <si>
    <t xml:space="preserve">PROG-009</t>
  </si>
  <si>
    <t xml:space="preserve">Grove Battery Controls / NovaDrive Technologies program disclosure</t>
  </si>
  <si>
    <t xml:space="preserve">DOC-018</t>
  </si>
  <si>
    <t xml:space="preserve">QUAL-009</t>
  </si>
  <si>
    <t xml:space="preserve">Production qualification: Grove Battery Controls to NovaDrive Technologies</t>
  </si>
  <si>
    <t xml:space="preserve">DOC-019</t>
  </si>
  <si>
    <t xml:space="preserve">PROG-010</t>
  </si>
  <si>
    <t xml:space="preserve">HarborSense Electronics / NovaDrive Technologies program disclosure</t>
  </si>
  <si>
    <t xml:space="preserve">DOC-020</t>
  </si>
  <si>
    <t xml:space="preserve">QUAL-010</t>
  </si>
  <si>
    <t xml:space="preserve">Production qualification: HarborSense Electronics to NovaDrive Technologies</t>
  </si>
  <si>
    <t xml:space="preserve">DOC-021</t>
  </si>
  <si>
    <t xml:space="preserve">PROG-011</t>
  </si>
  <si>
    <t xml:space="preserve">IonPeak Semiconductor / Aster Power Assemblies program disclosure</t>
  </si>
  <si>
    <t xml:space="preserve">Accept – primary (single family)</t>
  </si>
  <si>
    <t xml:space="preserve">Upstream link</t>
  </si>
  <si>
    <t xml:space="preserve">Customer-side disclosure naming supplier, input, site and NovaDrive-relevant programme for 2025-26. One source family only → grade B unless corroborated. No volumes → sole-source status NOT established.</t>
  </si>
  <si>
    <t xml:space="preserve">DOC-023</t>
  </si>
  <si>
    <t xml:space="preserve">PROG-012</t>
  </si>
  <si>
    <t xml:space="preserve">IonPeak Semiconductor / Boreal Power Systems program disclosure</t>
  </si>
  <si>
    <t xml:space="preserve">DOC-025</t>
  </si>
  <si>
    <t xml:space="preserve">PROG-013</t>
  </si>
  <si>
    <t xml:space="preserve">Jade Printed Circuits / Cobalt Control Electronics program disclosure</t>
  </si>
  <si>
    <t xml:space="preserve">DOC-027</t>
  </si>
  <si>
    <t xml:space="preserve">PROG-014</t>
  </si>
  <si>
    <t xml:space="preserve">Jade Printed Circuits / Grove Battery Controls program disclosure</t>
  </si>
  <si>
    <t xml:space="preserve">DOC-029</t>
  </si>
  <si>
    <t xml:space="preserve">PROG-015</t>
  </si>
  <si>
    <t xml:space="preserve">Jade Printed Circuits / HarborSense Electronics program disclosure</t>
  </si>
  <si>
    <t xml:space="preserve">PROG-016</t>
  </si>
  <si>
    <t xml:space="preserve">Kestrel Microdevices / Cobalt Control Electronics program disclosure</t>
  </si>
  <si>
    <t xml:space="preserve">PROG-017</t>
  </si>
  <si>
    <t xml:space="preserve">Kestrel Microdevices / Grove Battery Controls program disclosure</t>
  </si>
  <si>
    <t xml:space="preserve">PROG-018</t>
  </si>
  <si>
    <t xml:space="preserve">Lumen Magnetics / Aster Power Assemblies program disclosure</t>
  </si>
  <si>
    <t xml:space="preserve">PROG-019</t>
  </si>
  <si>
    <t xml:space="preserve">Lumen Magnetics / Boreal Power Systems program disclosure</t>
  </si>
  <si>
    <t xml:space="preserve">PROG-020</t>
  </si>
  <si>
    <t xml:space="preserve">Meridian Dielectrics / Delta Capacitor Works program disclosure</t>
  </si>
  <si>
    <t xml:space="preserve">PROG-021</t>
  </si>
  <si>
    <t xml:space="preserve">Nacre Foils / Delta Capacitor Works program disclosure</t>
  </si>
  <si>
    <t xml:space="preserve">PROG-022</t>
  </si>
  <si>
    <t xml:space="preserve">Orion Ceramics / Aster Power Assemblies program disclosure</t>
  </si>
  <si>
    <t xml:space="preserve">PROG-023</t>
  </si>
  <si>
    <t xml:space="preserve">Orion Ceramics / Boreal Power Systems program disclosure</t>
  </si>
  <si>
    <t xml:space="preserve">PROG-024</t>
  </si>
  <si>
    <t xml:space="preserve">Pine Thermal Metals / Estuary Thermal Systems program disclosure</t>
  </si>
  <si>
    <t xml:space="preserve">PROG-025</t>
  </si>
  <si>
    <t xml:space="preserve">Quartz Alloy / ForgeLine Enclosures program disclosure</t>
  </si>
  <si>
    <t xml:space="preserve">PROG-026</t>
  </si>
  <si>
    <t xml:space="preserve">Rill Connectors / Cobalt Control Electronics program disclosure</t>
  </si>
  <si>
    <t xml:space="preserve">PROG-029</t>
  </si>
  <si>
    <t xml:space="preserve">Umber Silicon Carbide / IonPeak Semiconductor program disclosure</t>
  </si>
  <si>
    <t xml:space="preserve">Customer program index</t>
  </si>
  <si>
    <t xml:space="preserve">PROG-030</t>
  </si>
  <si>
    <t xml:space="preserve">Verdant Process Gases / IonPeak Semiconductor program disclosure</t>
  </si>
  <si>
    <t xml:space="preserve">Partial – inferred link</t>
  </si>
  <si>
    <t xml:space="preserve">Upstream link (inferred)</t>
  </si>
  <si>
    <t xml:space="preserve">Customer index lists IonPeak and mentions M10/M20 applications but does not allocate purchases or receiving line. Keep as reasonable inference (grade C), validate scope.</t>
  </si>
  <si>
    <t xml:space="preserve">PROG-031</t>
  </si>
  <si>
    <t xml:space="preserve">Warden Copper Foil / Jade Printed Circuits program disclosure</t>
  </si>
  <si>
    <t xml:space="preserve">PROG-033</t>
  </si>
  <si>
    <t xml:space="preserve">Xenon Resin / Jade Printed Circuits program disclosure</t>
  </si>
  <si>
    <t xml:space="preserve">PROG-034</t>
  </si>
  <si>
    <t xml:space="preserve">Yarrow Specialty Minerals / Orion Ceramics program disclosure</t>
  </si>
  <si>
    <t xml:space="preserve">PROG-036</t>
  </si>
  <si>
    <t xml:space="preserve">Zenith Polymer / Meridian Dielectrics program disclosure</t>
  </si>
  <si>
    <t xml:space="preserve">DOC-074</t>
  </si>
  <si>
    <t xml:space="preserve">Trade directory</t>
  </si>
  <si>
    <t xml:space="preserve">PROG-038</t>
  </si>
  <si>
    <t xml:space="preserve">Alder Bauxite / Quartz Alloy program disclosure</t>
  </si>
  <si>
    <t xml:space="preserve">Reject as link – research lead</t>
  </si>
  <si>
    <t xml:space="preserve">Unknowns list</t>
  </si>
  <si>
    <t xml:space="preserve">Trade-directory co-membership only. Alder Bauxite is not in the Supplier Universe; no purchase, product or facility stated.</t>
  </si>
  <si>
    <t xml:space="preserve">2025-09-01</t>
  </si>
  <si>
    <t xml:space="preserve">Corporate registry</t>
  </si>
  <si>
    <t xml:space="preserve">FAM-DOC-075</t>
  </si>
  <si>
    <t xml:space="preserve">CommonSpan consolidation note</t>
  </si>
  <si>
    <t xml:space="preserve">Accept – ownership context</t>
  </si>
  <si>
    <t xml:space="preserve">Common-mode analysis</t>
  </si>
  <si>
    <t xml:space="preserve">CommonSpan controls BOTH Aster and Boreal → M10/M20 "dual sourcing" is one ownership group. Not a supply link.</t>
  </si>
  <si>
    <t xml:space="preserve">FAM-DOC-076</t>
  </si>
  <si>
    <t xml:space="preserve">Jade corporate structure</t>
  </si>
  <si>
    <t xml:space="preserve">Accept – entity/facility resolution</t>
  </si>
  <si>
    <t xml:space="preserve">Event matching</t>
  </si>
  <si>
    <t xml:space="preserve">Jade operating plant SITE-081 (Z01); SITE-901 (Z07) is HQ only. Used to down-rank EV-007.</t>
  </si>
  <si>
    <t xml:space="preserve">2025-09-12</t>
  </si>
  <si>
    <t xml:space="preserve">Facility disclosure</t>
  </si>
  <si>
    <t xml:space="preserve">FAM-DOC-077</t>
  </si>
  <si>
    <t xml:space="preserve">IonPeak capacity and qualification statement</t>
  </si>
  <si>
    <t xml:space="preserve">Event matching + network</t>
  </si>
  <si>
    <t xml:space="preserve">IonPeak production dies at SITE-074 (Z01). SITE-900 pilot line is NOT a qualified fallback. Ion Peak Trading (REG-NO-4128) is unrelated. Used to suppress EV-004.</t>
  </si>
  <si>
    <t xml:space="preserve">DOC-078</t>
  </si>
  <si>
    <t xml:space="preserve">2025-09-15</t>
  </si>
  <si>
    <t xml:space="preserve">Joint technical statement</t>
  </si>
  <si>
    <t xml:space="preserve">FAM-DOC-078</t>
  </si>
  <si>
    <t xml:space="preserve">Current power-die sourcing note</t>
  </si>
  <si>
    <t xml:space="preserve">Accept – sole-source confirmation</t>
  </si>
  <si>
    <t xml:space="preserve">Sole-source status</t>
  </si>
  <si>
    <t xml:space="preserve">Both Aster and Boreal use the same IonPeak die family from SITE-074; no second die source qualified. Confirms a single point of failure behind both assemblers.</t>
  </si>
  <si>
    <t xml:space="preserve">DOC-079</t>
  </si>
  <si>
    <t xml:space="preserve">Technical program register</t>
  </si>
  <si>
    <t xml:space="preserve">FAM-DOC-079</t>
  </si>
  <si>
    <t xml:space="preserve">Current circuit-substrate sourcing note</t>
  </si>
  <si>
    <t xml:space="preserve">Cobalt (C10), Grove and HarborSense (B10) all use Jade substrates from SITE-081; no qualified independent substrate in corpus.</t>
  </si>
  <si>
    <t xml:space="preserve">2022-11-01</t>
  </si>
  <si>
    <t xml:space="preserve">Archive announcement</t>
  </si>
  <si>
    <t xml:space="preserve">FAM-DOC-080</t>
  </si>
  <si>
    <t xml:space="preserve">Archived Delta supplier award</t>
  </si>
  <si>
    <t xml:space="preserve">Expired</t>
  </si>
  <si>
    <t xml:space="preserve">Reject – expired</t>
  </si>
  <si>
    <t xml:space="preserve">Excluded</t>
  </si>
  <si>
    <t xml:space="preserve">2022 Delta housing pilot ended 31-Dec-2023. Not a current H10 link; current Delta award is C20 only.</t>
  </si>
  <si>
    <t xml:space="preserve">DOC-083</t>
  </si>
  <si>
    <t xml:space="preserve">Logistics directory</t>
  </si>
  <si>
    <t xml:space="preserve">FAM-DOC-083</t>
  </si>
  <si>
    <t xml:space="preserve">Harbor Freight role clarification</t>
  </si>
  <si>
    <t xml:space="preserve">Accept – role clarification</t>
  </si>
  <si>
    <t xml:space="preserve">Network (logistics context)</t>
  </si>
  <si>
    <t xml:space="preserve">Harbor Freight is a consolidator/notify party, not a manufacturer; OceanLink is a terminal operator. Classified as logistics node.</t>
  </si>
  <si>
    <t xml:space="preserve">DOC-084</t>
  </si>
  <si>
    <t xml:space="preserve">2025-09-20</t>
  </si>
  <si>
    <t xml:space="preserve">Correction notice</t>
  </si>
  <si>
    <t xml:space="preserve">FAM-DOC-084</t>
  </si>
  <si>
    <t xml:space="preserve">Supplier launch correction</t>
  </si>
  <si>
    <t xml:space="preserve">Reject – wrong entity</t>
  </si>
  <si>
    <t xml:space="preserve">Delta Consumer Plastics memo concerned trial retail packaging; never converted. Name similarity to Delta Capacitor Works is not a link.</t>
  </si>
  <si>
    <t xml:space="preserve">2025-09-25</t>
  </si>
  <si>
    <t xml:space="preserve">Company clarification</t>
  </si>
  <si>
    <t xml:space="preserve">FAM-DOC-085</t>
  </si>
  <si>
    <t xml:space="preserve">Solace program clarification</t>
  </si>
  <si>
    <t xml:space="preserve">Hypothesis only</t>
  </si>
  <si>
    <t xml:space="preserve">Solace completed a sample evaluation with Grove; no serial award. Retain as hypothesis (grade D), do not map as supply.</t>
  </si>
  <si>
    <t xml:space="preserve">DOC-086</t>
  </si>
  <si>
    <t xml:space="preserve">Company website excerpt</t>
  </si>
  <si>
    <t xml:space="preserve">FAM-DOC-086</t>
  </si>
  <si>
    <t xml:space="preserve">Quartz raw-material sourcing note</t>
  </si>
  <si>
    <t xml:space="preserve">Accept – confirms gap</t>
  </si>
  <si>
    <t xml:space="preserve">Quartz does not disclose bauxite sources; Tier-3 for H10 remains unverified.</t>
  </si>
  <si>
    <t xml:space="preserve">SHP-00002</t>
  </si>
  <si>
    <t xml:space="preserve">2025-02-07</t>
  </si>
  <si>
    <t xml:space="preserve">Shipment observation</t>
  </si>
  <si>
    <t xml:space="preserve">MANIFEST-BOL-00002</t>
  </si>
  <si>
    <t xml:space="preserve">ASTER POWER ASSEMBLIES -&gt; NOVADRIVE TECHNOLOGIES - IMPORT OPERATIONS</t>
  </si>
  <si>
    <t xml:space="preserve">Observed record</t>
  </si>
  <si>
    <t xml:space="preserve">Corroborating – shipment</t>
  </si>
  <si>
    <t xml:space="preserve">Tier-1 link (corroboration)</t>
  </si>
  <si>
    <t xml:space="preserve">Observed manifest matches shipper, consignee, origin site and component. Partial extract; weights are not purchase shares. Note: dated Jan/Feb-2025, before 12-Jun-2025 serial approval → likely pre-series lots; supports existence of relationship only.</t>
  </si>
  <si>
    <t xml:space="preserve">SHP-00025</t>
  </si>
  <si>
    <t xml:space="preserve">2025-01-07</t>
  </si>
  <si>
    <t xml:space="preserve">MANIFEST-BOL-00025</t>
  </si>
  <si>
    <t xml:space="preserve">Boreal Power Systems LTD -&gt; NOVADRIVE TECHNOLOGIES - IMPORT OPERATIONS</t>
  </si>
  <si>
    <t xml:space="preserve">SHP-00050</t>
  </si>
  <si>
    <t xml:space="preserve">MANIFEST-BOL-00050</t>
  </si>
  <si>
    <t xml:space="preserve">COBALT CONTROL ELECTRONICS -&gt; NOVADRIVE TECHNOLOGIES - IMPORT OPERATIONS</t>
  </si>
  <si>
    <t xml:space="preserve">SHP-00062</t>
  </si>
  <si>
    <t xml:space="preserve">MANIFEST-BOL-00062</t>
  </si>
  <si>
    <t xml:space="preserve">DELTA CAPACITOR WORKS -&gt; NOVADRIVE TECHNOLOGIES - IMPORT OPERATIONS</t>
  </si>
  <si>
    <t xml:space="preserve">SHP-00438</t>
  </si>
  <si>
    <t xml:space="preserve">2025-08-10</t>
  </si>
  <si>
    <t xml:space="preserve">OTHER-34-0</t>
  </si>
  <si>
    <t xml:space="preserve">DELTA CONSUMER PLASTICS -&gt; UNRELATED INDUSTRIAL CUSTOMER</t>
  </si>
  <si>
    <t xml:space="preserve">Reject – unrelated</t>
  </si>
  <si>
    <t xml:space="preserve">Delta Consumer Plastics shipping packaging to an unrelated customer. No NovaDrive relevance.</t>
  </si>
  <si>
    <t xml:space="preserve">SHP-00125</t>
  </si>
  <si>
    <t xml:space="preserve">2025-04-07</t>
  </si>
  <si>
    <t xml:space="preserve">MANIFEST-BOL-00125</t>
  </si>
  <si>
    <t xml:space="preserve">HARBOR FREIGHT SERVICES -&gt; Aster Power Assemblies LTD</t>
  </si>
  <si>
    <t xml:space="preserve">Corroborating – logistics</t>
  </si>
  <si>
    <t xml:space="preserve">Harbor Freight consolidates M10/M20 power dies into Aster. Consistent with IonPeak→Aster link and adds a logistics dependency on the die path. Does not name IonPeak, so not counted as an independent die-source record.</t>
  </si>
  <si>
    <t xml:space="preserve">Summary</t>
  </si>
  <si>
    <t xml:space="preserve">Records in corpus</t>
  </si>
  <si>
    <t xml:space="preserve">Accepted (primary, context, confirmation)</t>
  </si>
  <si>
    <t xml:space="preserve">Corroborating shipments</t>
  </si>
  <si>
    <t xml:space="preserve">Inferred / hypothesis</t>
  </si>
  <si>
    <t xml:space="preserve">Rejected (expired, wrong entity, lead only)</t>
  </si>
  <si>
    <t xml:space="preserve">Distinct source families</t>
  </si>
  <si>
    <t xml:space="preserve">Note: evidence IDs are non-contiguous (e.g. DOC-022, DOC-024 absent) – the corpus is "selected"; gaps are not evidence of absence.</t>
  </si>
  <si>
    <t xml:space="preserve">Concentration &amp; common-mode analysis – where "dual sourcing" is an illusion</t>
  </si>
  <si>
    <t xml:space="preserve">Effective number of independent sources N_eff = 1 / HHI. A component is only as diversified as its least-diversified layer.</t>
  </si>
  <si>
    <t xml:space="preserve">Component</t>
  </si>
  <si>
    <t xml:space="preserve">Used in</t>
  </si>
  <si>
    <t xml:space="preserve">Tier-1 HHI</t>
  </si>
  <si>
    <t xml:space="preserve">N_eff at Tier-1</t>
  </si>
  <si>
    <t xml:space="preserve">N_eff at ownership level</t>
  </si>
  <si>
    <t xml:space="preserve">N_eff at critical sub-tier</t>
  </si>
  <si>
    <t xml:space="preserve">Binding constraint</t>
  </si>
  <si>
    <t xml:space="preserve">Diversification illusion (N_eff lost)</t>
  </si>
  <si>
    <t xml:space="preserve">Read-out</t>
  </si>
  <si>
    <t xml:space="preserve">P1, P3</t>
  </si>
  <si>
    <t xml:space="preserve">IonPeak dies (DOC-078) + CommonSpan ownership (DOC-075)</t>
  </si>
  <si>
    <t xml:space="preserve">Looks 60/40 dual-sourced; is one owner and one die fab.</t>
  </si>
  <si>
    <t xml:space="preserve">Looks 70/30 dual-sourced; same as M10.</t>
  </si>
  <si>
    <t xml:space="preserve">P1, P2, P3</t>
  </si>
  <si>
    <t xml:space="preserve">Cobalt (100%) and Jade substrates (DOC-079)</t>
  </si>
  <si>
    <t xml:space="preserve">Single source at two consecutive tiers; in every product.</t>
  </si>
  <si>
    <t xml:space="preserve">P1, P2</t>
  </si>
  <si>
    <t xml:space="preserve">Delta (100%); Meridian film presumed sole – VERIFY</t>
  </si>
  <si>
    <t xml:space="preserve">Single source; Tier-2 now financially distressed (EV-003).</t>
  </si>
  <si>
    <t xml:space="preserve">ForgeLine (100%)</t>
  </si>
  <si>
    <t xml:space="preserve">Single source but short TTR (4 wks).</t>
  </si>
  <si>
    <t xml:space="preserve">P2, P3</t>
  </si>
  <si>
    <t xml:space="preserve">Estuary (100%)</t>
  </si>
  <si>
    <t xml:space="preserve">Single source, short TTR (6 wks), high-hazard zone Z06.</t>
  </si>
  <si>
    <t xml:space="preserve">Jade substrates shared by Grove and HarborSense (DOC-079)</t>
  </si>
  <si>
    <t xml:space="preserve">80/20 split collapses to one substrate plant.</t>
  </si>
  <si>
    <t xml:space="preserve">Zone concentration – what one regional event could stop (mapped nodes)</t>
  </si>
  <si>
    <t xml:space="preserve">Scored nodes in zone</t>
  </si>
  <si>
    <t xml:space="preserve">Nodes</t>
  </si>
  <si>
    <t xml:space="preserve">Max exposure P1</t>
  </si>
  <si>
    <t xml:space="preserve">Max exposure P2</t>
  </si>
  <si>
    <t xml:space="preserve">Max exposure P3</t>
  </si>
  <si>
    <t xml:space="preserve">Revenue at stake ($m/yr)</t>
  </si>
  <si>
    <t xml:space="preserve">Confirmed-dependency only: revenue ($m/yr)</t>
  </si>
  <si>
    <t xml:space="preserve">Avg physical hazard</t>
  </si>
  <si>
    <t xml:space="preserve">Avg logistics friction</t>
  </si>
  <si>
    <t xml:space="preserve">IonPeak, Jade, Orion, Umber, Verdant</t>
  </si>
  <si>
    <t xml:space="preserve">East Delta: dies + substrates + ceramics + SiC. 100% of revenue on CONFIRMED sole-source evidence. Flood watch active (EV-001).</t>
  </si>
  <si>
    <t xml:space="preserve">Aster, ForgeLine, Quartz</t>
  </si>
  <si>
    <t xml:space="preserve">Aster 60-70% of M10/M20 + all of H10.</t>
  </si>
  <si>
    <t xml:space="preserve">Delta, Meridian, Zenith</t>
  </si>
  <si>
    <t xml:space="preserve">Entire C20 chain in one zone; Meridian distressed.</t>
  </si>
  <si>
    <t xml:space="preserve">Cobalt, Grove, Lumen, Rill, Xenon</t>
  </si>
  <si>
    <t xml:space="preserve">Second 100% zone: Cobalt (sole C10) sits here; hazard 58 / logistics 62.</t>
  </si>
  <si>
    <t xml:space="preserve">Boreal, HarborSense, CommonSpan, Kestrel</t>
  </si>
  <si>
    <t xml:space="preserve">Kestrel MCUs (presumed sole) drive the upper bound; confirmed exposure lower.</t>
  </si>
  <si>
    <t xml:space="preserve">Estuary, Nacre, Pine, Warden</t>
  </si>
  <si>
    <t xml:space="preserve">H20 sole source + C20 foil + Jade copper foil; hazard 67.</t>
  </si>
  <si>
    <t xml:space="preserve">(none scored – Harbor Freight, Jade HQ, Ion Peak Trading)</t>
  </si>
  <si>
    <t xml:space="preserve">Logistics/admin only. Note name trap: Harbor Freight site is called "Harbor Works", same as a NovaDrive plant.</t>
  </si>
  <si>
    <t xml:space="preserve">Yarrow (+ Solace, hypothesis)</t>
  </si>
  <si>
    <t xml:space="preserve">Tier-3 only.</t>
  </si>
  <si>
    <t xml:space="preserve">Method note: zone revenue uses the MAX node exposure per product within the zone – exact when one node is 100%, a lower bound when two partial nodes sit in the same zone. "Confirmed-dependency only" counts Tier-1 allocations and documented sole sources (DOC-078/079), excluding presumed-sole links. Zone hazard indices are identical for all entities in a zone in the case data, so they are read from the first matching entity.</t>
  </si>
  <si>
    <t xml:space="preserve">Proactive risk flagging – event feed → matched network node → management alert</t>
  </si>
  <si>
    <t xml:space="preserve">Pipeline: (1) de-duplicate by Source Family → (2) freshness test → (3) entity &amp; facility resolution → (4) match to mapped node/zone → (5) score = 100 × Severity × Credibility × Match × Exposure × Vulnerability factor → (6) alert card.</t>
  </si>
  <si>
    <t xml:space="preserve">Event</t>
  </si>
  <si>
    <t xml:space="preserve">Published</t>
  </si>
  <si>
    <t xml:space="preserve">Effective</t>
  </si>
  <si>
    <t xml:space="preserve">Title</t>
  </si>
  <si>
    <t xml:space="preserve">1. De-duplication</t>
  </si>
  <si>
    <t xml:space="preserve">2. Freshness</t>
  </si>
  <si>
    <t xml:space="preserve">3. Entity / facility / geography resolution</t>
  </si>
  <si>
    <t xml:space="preserve">4. Matched network nodes</t>
  </si>
  <si>
    <t xml:space="preserve">Primary node</t>
  </si>
  <si>
    <t xml:space="preserve">Severity S</t>
  </si>
  <si>
    <t xml:space="preserve">Credibility C</t>
  </si>
  <si>
    <t xml:space="preserve">Match M</t>
  </si>
  <si>
    <t xml:space="preserve">Exposure E</t>
  </si>
  <si>
    <t xml:space="preserve">Vuln. factor</t>
  </si>
  <si>
    <t xml:space="preserve">ALERT SCORE</t>
  </si>
  <si>
    <t xml:space="preserve">ALERT LEVEL</t>
  </si>
  <si>
    <t xml:space="preserve">Why it matters</t>
  </si>
  <si>
    <t xml:space="preserve">Next action (24-72h)</t>
  </si>
  <si>
    <t xml:space="preserve">Verification still required</t>
  </si>
  <si>
    <t xml:space="preserve">Owner</t>
  </si>
  <si>
    <t xml:space="preserve">Escalation trigger</t>
  </si>
  <si>
    <t xml:space="preserve">EV-001</t>
  </si>
  <si>
    <t xml:space="preserve">East Delta flood watch</t>
  </si>
  <si>
    <t xml:space="preserve">WX-0923</t>
  </si>
  <si>
    <t xml:space="preserve">Primary (WX-0923)</t>
  </si>
  <si>
    <t xml:space="preserve">Geography Z01 = East Delta. Production sites in Z01: SITE-074 IonPeak, SITE-081 Jade, SITE-116 Orion, SITE-158 Umber, SITE-165 Verdant. Correctly EXCLUDED: IonPeak SITE-900 (Z05 pilot line), Jade HQ SITE-901 (Z07).</t>
  </si>
  <si>
    <t xml:space="preserve">IonPeak (T2, sole dies), Jade (T2, sole substrates), Orion (T2), Umber (T3), Verdant (T3, inferred)</t>
  </si>
  <si>
    <t xml:space="preserve">One zone sits behind 100% of revenue (~$30m/week) on documented sole-source evidence: every M10/M20 die and every C10/B10 substrate. Alternate die route is 26-52 weeks. It is a WATCH – no damage confirmed – so the response is verify + pre-position, not panic-switch.</t>
  </si>
  <si>
    <t xml:space="preserve">NovaDrive has no direct Tier-2 contract → act through Aster, Boreal, Cobalt, Grove, HarborSense. 24h: confirm status of SITE-074/081/116; get die &amp; substrate inventory (weeks of cover) at Tier-1s and in transit (Harbor Freight consolidation). 72h: request pull-forward of finished dies/substrates out of Z01; pre-issue RFIs to shortlisted alternates.</t>
  </si>
  <si>
    <t xml:space="preserve">Actual flood outcome; where WIP and finished stock physically sit; whether Orion/Umber hold stock outside Z01.</t>
  </si>
  <si>
    <t xml:space="preserve">CRO + category lead, power electronics</t>
  </si>
  <si>
    <t xml:space="preserve">Any Z01 site reports damage/shutdown, or authority upgrades watch → warning → raise to CRITICAL and activate alternates.</t>
  </si>
  <si>
    <t xml:space="preserve">EV-002</t>
  </si>
  <si>
    <t xml:space="preserve">Trade-wire repeats flood watch</t>
  </si>
  <si>
    <t xml:space="preserve">DUPLICATE of EV-001 (same source family WX-0923) – merged</t>
  </si>
  <si>
    <t xml:space="preserve">Republication of the same authority bulletin; adds no independent evidence.</t>
  </si>
  <si>
    <t xml:space="preserve">(as EV-001)</t>
  </si>
  <si>
    <t xml:space="preserve">Counting it would double the apparent signal strength. Shown to prove de-duplication works.</t>
  </si>
  <si>
    <t xml:space="preserve">None – merged.</t>
  </si>
  <si>
    <t xml:space="preserve">Risk analyst</t>
  </si>
  <si>
    <t xml:space="preserve">EV-003</t>
  </si>
  <si>
    <t xml:space="preserve">Meridian financing pressure</t>
  </si>
  <si>
    <t xml:space="preserve">MD-FIN-0924</t>
  </si>
  <si>
    <t xml:space="preserve">Primary (MD-FIN-0924)</t>
  </si>
  <si>
    <t xml:space="preserve">Exact legal entity Meridian Dielectrics Ltd. (ORG-210), SITE-102, Z03. Mapped as Tier-2 film supplier to Delta Capacitor Works (C20) → P1, P2.</t>
  </si>
  <si>
    <t xml:space="preserve">Meridian (T2) → Delta (T1, 100% C20) → P1 DriveCore, P2 ChargeBridge</t>
  </si>
  <si>
    <t xml:space="preserve">Independently confirms the worst financial profile in the network (current ratio 0.62, net debt/EBITDA 7.2x, OTD 76.4%, −17.6pp). C20 is single-sourced at Delta; 73% of revenue (~$22m/week) depends on it.</t>
  </si>
  <si>
    <t xml:space="preserve">48h: ask Delta for share of film from Meridian, film inventory (weeks) and any second qualified film. Build C20 buffer ≥ 8 weeks (= C20 qualification lead time). Start Tier-1 C20 alternate qualification now (8-week lead – cheapest hedge in the network). Ask Delta to qualify a second film source.</t>
  </si>
  <si>
    <t xml:space="preserve">Whether Meridian is Delta's only film source (not disclosed); covenant outcome; Zenith (T3 polymer) exposure.</t>
  </si>
  <si>
    <t xml:space="preserve">CRO + category lead, passives</t>
  </si>
  <si>
    <t xml:space="preserve">Covenant breach, missed creditor payments spread, or Meridian OTD &lt; 75% → CRITICAL; trigger C20 dual-source award.</t>
  </si>
  <si>
    <t xml:space="preserve">EV-004</t>
  </si>
  <si>
    <t xml:space="preserve">Ion Peak Trading insolvency filing</t>
  </si>
  <si>
    <t xml:space="preserve">IPT-0925</t>
  </si>
  <si>
    <t xml:space="preserve">Primary (IPT-0925)</t>
  </si>
  <si>
    <t xml:space="preserve">NAME COLLISION. Ion Peak Trading Ltd. (REG-NO-4128, broker, Harbor District Z07) ≠ IonPeak Semiconductor (ORG-439). DOC-077 confirms unrelated, not a subsidiary. No relationship evidence links it to any NovaDrive node.</t>
  </si>
  <si>
    <t xml:space="preserve">None</t>
  </si>
  <si>
    <t xml:space="preserve">A naive keyword match would raise a false insolvency alert on our most critical Tier-2. Entity resolution on registry number prevents it.</t>
  </si>
  <si>
    <t xml:space="preserve">Log only. One-line check with procurement that no PO or logistics booking is brokered via Ion Peak Trading.</t>
  </si>
  <si>
    <t xml:space="preserve">Evidence of any NovaDrive or Tier-1 transaction via the broker.</t>
  </si>
  <si>
    <t xml:space="preserve">EV-005</t>
  </si>
  <si>
    <t xml:space="preserve">Archived port strike reposted</t>
  </si>
  <si>
    <t xml:space="preserve">OLD-PORT</t>
  </si>
  <si>
    <t xml:space="preserve">Primary (OLD-PORT)</t>
  </si>
  <si>
    <t xml:space="preserve">Effective date 03-Nov-2023; dispute ended in 2023; republished by an aggregator.</t>
  </si>
  <si>
    <t xml:space="preserve">None (stale)</t>
  </si>
  <si>
    <t xml:space="preserve">Stale news recycled as current – would waste management attention.</t>
  </si>
  <si>
    <t xml:space="preserve">Suppress; down-weight the aggregator source in future scoring.</t>
  </si>
  <si>
    <t xml:space="preserve">A new, dated strike notice.</t>
  </si>
  <si>
    <t xml:space="preserve">EV-007</t>
  </si>
  <si>
    <t xml:space="preserve">Jade head office relocation</t>
  </si>
  <si>
    <t xml:space="preserve">JADE-HQ</t>
  </si>
  <si>
    <t xml:space="preserve">Primary (JADE-HQ)</t>
  </si>
  <si>
    <t xml:space="preserve">Exact entity (Jade) but HQ only: administrative move within Harbor District (Z07, SITE-901). Production SITE-081 (Z01) unchanged (DOC-076).</t>
  </si>
  <si>
    <t xml:space="preserve">Jade Circuits Holdings / Jade HQ – not a production node</t>
  </si>
  <si>
    <t xml:space="preserve">Right company, wrong facility role – no supply impact.</t>
  </si>
  <si>
    <t xml:space="preserve">Update supplier master data (address). No alert.</t>
  </si>
  <si>
    <t xml:space="preserve">Supplier master data</t>
  </si>
  <si>
    <t xml:space="preserve">Any production move away from SITE-081.</t>
  </si>
  <si>
    <t xml:space="preserve">EV-009</t>
  </si>
  <si>
    <t xml:space="preserve">Delta packaging allegation corrected</t>
  </si>
  <si>
    <t xml:space="preserve">DELTA-IDENTITY</t>
  </si>
  <si>
    <t xml:space="preserve">Primary (DELTA-IDENTITY)</t>
  </si>
  <si>
    <t xml:space="preserve">Allegation concerns Delta Consumer Plastics (ORG-857), not Delta Capacitor Works (ORG-922). DOC-084 confirms no production link.</t>
  </si>
  <si>
    <t xml:space="preserve">Second name-collision trap ("Delta"). Suppressed.</t>
  </si>
  <si>
    <t xml:space="preserve">Log only.</t>
  </si>
  <si>
    <t xml:space="preserve">EV-010</t>
  </si>
  <si>
    <t xml:space="preserve">Gulf Arc port congestion</t>
  </si>
  <si>
    <t xml:space="preserve">PORT-GULF</t>
  </si>
  <si>
    <t xml:space="preserve">Primary (PORT-GULF)</t>
  </si>
  <si>
    <t xml:space="preserve">"Gulf Arc" is not mapped to any zone or site in the case data; OceanLink is a terminal operator (DOC-083). Lanes using it are UNKNOWN.</t>
  </si>
  <si>
    <t xml:space="preserve">Unresolved – potentially any Tier-1 ocean lane (Aster, Boreal, Cobalt, Delta shipments observed by ocean)</t>
  </si>
  <si>
    <t xml:space="preserve">Unknown is not the same as irrelevant. A 3-day delay is small against weekly volumes, but we cannot rule out that it hits a single-source lane (C10/C20).</t>
  </si>
  <si>
    <t xml:space="preserve">Ask forwarders/Tier-1s which bookings route via Gulf Arc; check inbound buffer (&gt;1 week absorbs a 3-day delay).</t>
  </si>
  <si>
    <t xml:space="preserve">Port-to-lane mapping for every Tier-1 (data gap).</t>
  </si>
  <si>
    <t xml:space="preserve">Logistics lead</t>
  </si>
  <si>
    <t xml:space="preserve">Delay &gt; 7 days or a single-source lane confirmed on Gulf Arc → MEDIUM.</t>
  </si>
  <si>
    <t xml:space="preserve">Scoring scales</t>
  </si>
  <si>
    <t xml:space="preserve">Severity S: 1.0 confirmed disruption · 0.7 credible precursor (watch, financial distress) · 0.4 logistics delay · 0.1 administrative</t>
  </si>
  <si>
    <t xml:space="preserve">Credibility C: 1.0 issuing authority · 0.8 single independent report · 0 duplicate of an already-counted source family or stale</t>
  </si>
  <si>
    <t xml:space="preserve">Match M: 1.0 exact legal entity + production site · 0.8 zone-level match to mapped production sites · 0.3 unresolved geography · 0.2 right entity, non-production facility · 0 wrong entity</t>
  </si>
  <si>
    <t xml:space="preserve">Exposure E: share of NovaDrive revenue behind the primary matched node (Scorecard) · upper bound 1.0 where geography is unresolved</t>
  </si>
  <si>
    <t xml:space="preserve">Vulnerability factor: 0.5 + node vulnerability/200 (a stressed node amplifies the same signal); 0.75 when no node is matched</t>
  </si>
  <si>
    <t xml:space="preserve">Alternate-supplier shortlist – fitment scored separately from supplier risk</t>
  </si>
  <si>
    <t xml:space="preserve">Market research as-of 2 Oct 2026 (Assumptions!B65) – deliberately later than the case cut-off of 30 Sep 2025, because the handbook asks for CURRENT public sources. Real companies, dated where the source is dated. Scores 1-5 are team judgements from the cited evidence (blue). Fitment ≠ approval: every candidate still needs RFI, audit and engineering qualification.</t>
  </si>
  <si>
    <t xml:space="preserve">#</t>
  </si>
  <si>
    <t xml:space="preserve">Flagged node / trigger</t>
  </si>
  <si>
    <t xml:space="preserve">Route</t>
  </si>
  <si>
    <t xml:space="preserve">Candidate (legal entity, HQ)</t>
  </si>
  <si>
    <t xml:space="preserve">Relevant product line &amp; capability evidence</t>
  </si>
  <si>
    <t xml:space="preserve">Footprint</t>
  </si>
  <si>
    <t xml:space="preserve">Source</t>
  </si>
  <si>
    <t xml:space="preserve">Source date</t>
  </si>
  <si>
    <t xml:space="preserve">Technical</t>
  </si>
  <si>
    <t xml:space="preserve">Application</t>
  </si>
  <si>
    <t xml:space="preserve">Footprint &amp; independence</t>
  </si>
  <si>
    <t xml:space="preserve">Scale</t>
  </si>
  <si>
    <t xml:space="preserve">Presence &amp; quality</t>
  </si>
  <si>
    <t xml:space="preserve">Qualification ease</t>
  </si>
  <si>
    <t xml:space="preserve">FITMENT (0-100)</t>
  </si>
  <si>
    <t xml:space="preserve">Risk screen</t>
  </si>
  <si>
    <t xml:space="preserve">Risk note (separate from fitment)</t>
  </si>
  <si>
    <t xml:space="preserve">Recommendation</t>
  </si>
  <si>
    <t xml:space="preserve">What sourcing / engineering must still validate</t>
  </si>
  <si>
    <t xml:space="preserve">IonPeak dies (EV-001, Critical)</t>
  </si>
  <si>
    <t xml:space="preserve">M10/M20 dies</t>
  </si>
  <si>
    <t xml:space="preserve">Die second-source to Aster/Boreal, or released modules</t>
  </si>
  <si>
    <t xml:space="preserve">Infineon Technologies AG – Neubiberg, DE</t>
  </si>
  <si>
    <t xml:space="preserve">Sells automotive IGBT bare dies (EDT2) and CoolSiC MOSFET bare dies to module makers; broad 62mm/Econo/PrimePACK IGBT module range.</t>
  </si>
  <si>
    <t xml:space="preserve">Multi-fab: DE, AT, MY (team research)</t>
  </si>
  <si>
    <t xml:space="preserve">https://www.infineon.com/products/power/igbt/automotive-qualified-igbts/automotive-igbt-bare-dies</t>
  </si>
  <si>
    <t xml:space="preserve">Page accessed 2026-10-02</t>
  </si>
  <si>
    <t xml:space="preserve">Green</t>
  </si>
  <si>
    <t xml:space="preserve">Large, diversified, investment grade.</t>
  </si>
  <si>
    <t xml:space="preserve">Die electrical/thermal match to existing module layout; Rth(j-c); PCN &amp; allocation commitment; 26-52 wk requal (DOC-078: nothing else qualified).</t>
  </si>
  <si>
    <t xml:space="preserve">M10 (industrial drives)</t>
  </si>
  <si>
    <t xml:space="preserve">Released IGBT modules (platform change)</t>
  </si>
  <si>
    <t xml:space="preserve">Mitsubishi Electric Corp. – Tokyo, JP</t>
  </si>
  <si>
    <t xml:space="preserve">8th-gen NX-type 1.2 kV IGBT modules, 300-1,000 A, for industrial inverters/motor drives; ~19% lower loss vs 7th gen. Samples from 15-Jun-2026.</t>
  </si>
  <si>
    <t xml:space="preserve">Japan-centric fabs</t>
  </si>
  <si>
    <t xml:space="preserve">https://www.mitsubishielectric.com/en/pr/2026/pdf/0519_sd.pdf</t>
  </si>
  <si>
    <t xml:space="preserve">2026-05-19</t>
  </si>
  <si>
    <t xml:space="preserve">New generation – check production ramp timing.</t>
  </si>
  <si>
    <t xml:space="preserve">Footprint/pinout vs current M10 design; gate-drive retune; sample-to-PPAP timeline; capacity allocation.</t>
  </si>
  <si>
    <t xml:space="preserve">Fuji Electric Co., Ltd. – Kawasaki, JP</t>
  </si>
  <si>
    <t xml:space="preserve">7th-gen X-Series IGBT modules (2-in-1, 6-in-1, PIM) for industrial inverters.</t>
  </si>
  <si>
    <t xml:space="preserve">Japan-centric</t>
  </si>
  <si>
    <t xml:space="preserve">https://americas.fujielectric.com/products/semiconductors/igbt-modules/</t>
  </si>
  <si>
    <t xml:space="preserve">Named producing fab and package plant; lifecycle/PCN commitments; mechanical compatibility.</t>
  </si>
  <si>
    <t xml:space="preserve">M20 (SiC, charging)</t>
  </si>
  <si>
    <t xml:space="preserve">SiC devices/modules</t>
  </si>
  <si>
    <t xml:space="preserve">Wolfspeed, Inc. – Durham, NC, US</t>
  </si>
  <si>
    <t xml:space="preserve">200 mm SiC fab (Mohawk Valley); SiC MOSFETs and modules for EV/industrial/energy.</t>
  </si>
  <si>
    <t xml:space="preserve">US-centric</t>
  </si>
  <si>
    <t xml:space="preserve">https://www.semiconductor-today.com/news_items/2025/sep/wolfspeed-300925.shtml</t>
  </si>
  <si>
    <t xml:space="preserve">2025-09-30</t>
  </si>
  <si>
    <t xml:space="preserve">Amber</t>
  </si>
  <si>
    <t xml:space="preserve">Emerged from Chapter 11 on 30-Sep-2025 (debt cut ~70%). Prelim research recommended it without this screen.</t>
  </si>
  <si>
    <t xml:space="preserve">Post-restructuring liquidity &amp; covenant terms; fab-transfer PCNs; never as sole source.</t>
  </si>
  <si>
    <t xml:space="preserve">SiC power modules</t>
  </si>
  <si>
    <t xml:space="preserve">Vincotech GmbH – Unterhaching, DE</t>
  </si>
  <si>
    <t xml:space="preserve">SiC flow modules (NPFC, MNPC, half-bridge) for DC fast chargers; 650 V-2.x kV classes.</t>
  </si>
  <si>
    <t xml:space="preserve">To confirm</t>
  </si>
  <si>
    <t xml:space="preserve">https://www.vincotech.com/applications/dc-fast-chargers/</t>
  </si>
  <si>
    <t xml:space="preserve">Ownership and plant locations not stated on source – verify before RFI.</t>
  </si>
  <si>
    <t xml:space="preserve">Ownership/parent; producing plant; voltage/current class vs M20; thermal interface.</t>
  </si>
  <si>
    <t xml:space="preserve">CommonSpan group (structural)</t>
  </si>
  <si>
    <t xml:space="preserve">M10 power assembly</t>
  </si>
  <si>
    <t xml:space="preserve">Independent Tier-1 assembler (not CommonSpan)</t>
  </si>
  <si>
    <t xml:space="preserve">Semikron Danfoss – Flensburg/Nuremberg, DE</t>
  </si>
  <si>
    <t xml:space="preserve">Custom IGBT/SiC power stacks for industrial motor drives: 380-690 VAC, 500-1,400 A rms, liquid ShowerPower cooling, designed to mission profile.</t>
  </si>
  <si>
    <t xml:space="preserve">Locations not on page</t>
  </si>
  <si>
    <t xml:space="preserve">https://www.danfoss.com/en/products/dsp/power-stacks/power-stacks/</t>
  </si>
  <si>
    <t xml:space="preserve">Uses which dies? Must NOT also depend on IonPeak/Orion. 16-wk qualification; mechanical envelope; cold-plate interface.</t>
  </si>
  <si>
    <t xml:space="preserve">M20 → P2 platform</t>
  </si>
  <si>
    <t xml:space="preserve">Platform redesign: buy finished charging power modules</t>
  </si>
  <si>
    <t xml:space="preserve">Shenzhen Infypower Co., Ltd. – Shenzhen, CN</t>
  </si>
  <si>
    <t xml:space="preserve">30 kW AC/DC, DC/DC, bidirectional and liquid-cooled EV-charger power modules.</t>
  </si>
  <si>
    <t xml:space="preserve">China</t>
  </si>
  <si>
    <t xml:space="preserve">https://www.infypower.com/30kw-ev-charger-power-module/</t>
  </si>
  <si>
    <t xml:space="preserve">China concentration, tariff exposure; certifications not shown on page.</t>
  </si>
  <si>
    <t xml:space="preserve">Higher integration than M20 → P2 redesign; UL/IEC certs; cybersecurity of firmware; not a 16-wk drop-in.</t>
  </si>
  <si>
    <t xml:space="preserve">Shenzhen UUGreenPower Co., Ltd. – Shenzhen, CN</t>
  </si>
  <si>
    <t xml:space="preserve">30 kW module, 150-1,000 V output, &gt;95% rated efficiency, CE &amp; cTUVus.</t>
  </si>
  <si>
    <t xml:space="preserve">https://www.uugreenpower.com/30kW-Wide-Range-Constant-Power-Charging-Module.html</t>
  </si>
  <si>
    <t xml:space="preserve">China concentration; scale unverified.</t>
  </si>
  <si>
    <t xml:space="preserve">As above; fan-cooled vs NovaDrive liquid cooling.</t>
  </si>
  <si>
    <t xml:space="preserve">Meridian film / Delta (EV-003, Critical)</t>
  </si>
  <si>
    <t xml:space="preserve">C20 DC-link capacitor</t>
  </si>
  <si>
    <t xml:space="preserve">Tier-1 swap (fastest hedge: 8-wk qual)</t>
  </si>
  <si>
    <t xml:space="preserve">TDK Electronics AG (TDK Corp.) – Munich, DE</t>
  </si>
  <si>
    <t xml:space="preserve">B25696H MKP DC-link: 900-2,000 VDC, 47-1,280 µF, 100,000 h @ 75 °C, for SiC converters, ESS, traction.</t>
  </si>
  <si>
    <t xml:space="preserve">Global</t>
  </si>
  <si>
    <t xml:space="preserve">https://chargedevs.com/newswire/tdk-launches-new-dc-link-film-capacitors-for-high-frequency-sic-power-converters/</t>
  </si>
  <si>
    <t xml:space="preserve">2026-06-04</t>
  </si>
  <si>
    <t xml:space="preserve">Cylindrical form factor vs current C20 packaging; ripple/ESR at NovaDrive mission profile; TDK's own film source (avoid Meridian).</t>
  </si>
  <si>
    <t xml:space="preserve">Tier-1 swap</t>
  </si>
  <si>
    <t xml:space="preserve">Vishay Intertechnology, Inc. – Malvern, PA, US</t>
  </si>
  <si>
    <t xml:space="preserve">MKP1848e: 500-1,300 VDC, 1-140 µF, 125 °C, AEC-Q200; fast chargers, motor drives, BESS; ~10-week lead time.</t>
  </si>
  <si>
    <t xml:space="preserve">https://chargedevs.com/newswire/the-tech/vishay-unveils-high-temperature-dc-link-capacitors-for-ev-power-electronics/</t>
  </si>
  <si>
    <t xml:space="preserve">2025-09-05</t>
  </si>
  <si>
    <t xml:space="preserve">Capacitance per part may need parallel parts → PCB/bus-bar change; lifetime at hotspot.</t>
  </si>
  <si>
    <t xml:space="preserve">KEMET (YAGEO Group) – Fort Lauderdale, US / Taipei, TW</t>
  </si>
  <si>
    <t xml:space="preserve">C4AK series high-temperature, long-life DC-link film capacitors (specs not retrieved – confirm).</t>
  </si>
  <si>
    <t xml:space="preserve">https://yageogroup.com/en/us/technical-resources/new-c4ak-series-high-temperature-long-life-dc-link-film-capacitors.html</t>
  </si>
  <si>
    <t xml:space="preserve">Page accessed 2026-10-02 (specs to confirm)</t>
  </si>
  <si>
    <t xml:space="preserve">Retrieve datasheet; voltage/capacitance class.</t>
  </si>
  <si>
    <t xml:space="preserve">Meridian film (EV-003)</t>
  </si>
  <si>
    <t xml:space="preserve">Dielectric film → Delta</t>
  </si>
  <si>
    <t xml:space="preserve">Tier-2 second source (via Delta)</t>
  </si>
  <si>
    <t xml:space="preserve">Toray Industries, Inc. – Tokyo, JP</t>
  </si>
  <si>
    <t xml:space="preserve">Torayfan capacitor-grade OPP film for EV PCU/inverter capacitors; Tsuchiura capacity +60% (target 2022).</t>
  </si>
  <si>
    <t xml:space="preserve">Japan</t>
  </si>
  <si>
    <t xml:space="preserve">https://www.plasticstoday.com/automotive-mobility/toray-boosting-pp-capacitor-film-capacity-for-evs</t>
  </si>
  <si>
    <t xml:space="preserve">2020-05-21 (refresh)</t>
  </si>
  <si>
    <t xml:space="preserve">Capacity data dated 2020 – refresh.</t>
  </si>
  <si>
    <t xml:space="preserve">Delta must requalify capacitors on new film (thickness, breakdown, self-healing).</t>
  </si>
  <si>
    <t xml:space="preserve">Terichem Tervakoski a.s. (Tervakoski Film) – Svit, SK</t>
  </si>
  <si>
    <t xml:space="preserve">PP capacitor film specialist: base, metallised and pattern-metallised films for grid, traction, automotive.</t>
  </si>
  <si>
    <t xml:space="preserve">Slovakia (~260 staff); Lutsk, Ukraine (~80)</t>
  </si>
  <si>
    <t xml:space="preserve">https://tervakoskifilm.com/company/</t>
  </si>
  <si>
    <t xml:space="preserve">Part of metallisation in Lutsk, Ukraine – conflict-zone continuity risk.</t>
  </si>
  <si>
    <t xml:space="preserve">Which site would supply; capacity; Delta requal.</t>
  </si>
  <si>
    <t xml:space="preserve">Tier-2 second source</t>
  </si>
  <si>
    <t xml:space="preserve">Steinerfilm, Inc. – Williamstown, MA, US</t>
  </si>
  <si>
    <t xml:space="preserve">Metallised capacitor film.</t>
  </si>
  <si>
    <t xml:space="preserve">US plant closed end-June 2026; customers moved to Steiner Film GmbH (DE)</t>
  </si>
  <si>
    <t xml:space="preserve">https://www.iberkshires.com/story/82775/Steinerfilm-to-Close-This-Summer.html</t>
  </si>
  <si>
    <t xml:space="preserve">2026-05-29</t>
  </si>
  <si>
    <t xml:space="preserve">Red</t>
  </si>
  <si>
    <t xml:space="preserve">US entity has closed – evaluate German sister Steiner Film GmbH instead.</t>
  </si>
  <si>
    <t xml:space="preserve">Shown to evidence the recency check: a directory list would still show this name.</t>
  </si>
  <si>
    <t xml:space="preserve">Jade substrates (EV-001, High)</t>
  </si>
  <si>
    <t xml:space="preserve">PCB substrates → C10/B10</t>
  </si>
  <si>
    <t xml:space="preserve">Tier-2 second source outside Z01 (via Cobalt/Grove/HarborSense)</t>
  </si>
  <si>
    <t xml:space="preserve">Schweizer Electronic AG – Schramberg, DE</t>
  </si>
  <si>
    <t xml:space="preserve">Heavy-copper PCBs (inner layers to 400 µm, &gt;200 A), p² Pack embedding, inlay boards; automotive &amp; industrial.</t>
  </si>
  <si>
    <t xml:space="preserve">DE, CN (Jintan/Suzhou), SG</t>
  </si>
  <si>
    <t xml:space="preserve">https://schweizer.ag/en/</t>
  </si>
  <si>
    <t xml:space="preserve">Small (~€173m revenue 2025); EBITDA €0.7m; back to profit 2025 after 2024 loss (EQS, 30-Mar-2026).</t>
  </si>
  <si>
    <t xml:space="preserve">Programme-specific stack-up (DOC-079); 12-wk requal; capacity reservation.</t>
  </si>
  <si>
    <t xml:space="preserve">Tier-2 second source outside Z01</t>
  </si>
  <si>
    <t xml:space="preserve">TTM Technologies, Inc. – Santa Ana, CA, US</t>
  </si>
  <si>
    <t xml:space="preserve">New $200m Penang PCB plant (opened Apr-2024) for networking, industrial, instrumentation; global fab network.</t>
  </si>
  <si>
    <t xml:space="preserve">MY, US, CN</t>
  </si>
  <si>
    <t xml:space="preserve">https://investors.ttm.com/news-events/press-releases/detail/355/ttm-technologies-celebrates-the-grand-opening-of-its-first</t>
  </si>
  <si>
    <t xml:space="preserve">2024-04-25</t>
  </si>
  <si>
    <t xml:space="preserve">Industrial power-board heavy-copper capability at named plant; IPC class.</t>
  </si>
  <si>
    <t xml:space="preserve">Cobalt C10 (single source, all revenue)</t>
  </si>
  <si>
    <t xml:space="preserve">C10 control board</t>
  </si>
  <si>
    <t xml:space="preserve">Second EMS site on NovaDrive-owned data pack</t>
  </si>
  <si>
    <t xml:space="preserve">Sanmina Corp. – San Jose, CA, US</t>
  </si>
  <si>
    <t xml:space="preserve">Industrial PCBA, IPC-A-610 Class 2/3, IATF-certified sites (DE, HU, MX, IN, Asia).</t>
  </si>
  <si>
    <t xml:space="preserve">21 countries</t>
  </si>
  <si>
    <t xml:space="preserve">Team research PDF (prelim) – recapture URL</t>
  </si>
  <si>
    <t xml:space="preserve">Team research</t>
  </si>
  <si>
    <t xml:space="preserve">PRECONDITION: NovaDrive owns Gerbers, BOM/AVL, firmware, test fixtures – else no real alternate.</t>
  </si>
  <si>
    <t xml:space="preserve">Second EMS site</t>
  </si>
  <si>
    <t xml:space="preserve">Celestica Inc. – Toronto, CA</t>
  </si>
  <si>
    <t xml:space="preserve">CCA/PCBA; Suzhou site IATF 16949 for PCBA.</t>
  </si>
  <si>
    <t xml:space="preserve">NA, EU, Asia</t>
  </si>
  <si>
    <t xml:space="preserve">Same data-pack precondition; site-level certificates.</t>
  </si>
  <si>
    <t xml:space="preserve">Plexus Corp. – Neenah, WI, US</t>
  </si>
  <si>
    <t xml:space="preserve">High-reliability, high-mix industrial electronics.</t>
  </si>
  <si>
    <t xml:space="preserve">NA, EU (Kelso), APAC</t>
  </si>
  <si>
    <t xml:space="preserve">Confirm plant-level certificates.</t>
  </si>
  <si>
    <t xml:space="preserve">Second EMS site / surge</t>
  </si>
  <si>
    <t xml:space="preserve">Jabil Inc. – St. Petersburg, FL, US</t>
  </si>
  <si>
    <t xml:space="preserve">Large-scale EMS incl. industrial/automotive electronics.</t>
  </si>
  <si>
    <t xml:space="preserve">Named plant, Class 3 acceptance.</t>
  </si>
  <si>
    <t xml:space="preserve">Kitron ASA – Billingstad, NO</t>
  </si>
  <si>
    <t xml:space="preserve">EMS for electrification &amp; industry; factories in NO, SE, DK, LT, DE, PL, CZ, IN, CN, US; ~2,800 staff.</t>
  </si>
  <si>
    <t xml:space="preserve">Europe-heavy + IN/CN/US</t>
  </si>
  <si>
    <t xml:space="preserve">https://kitron.com/blog/kitron-is-expanding-manufacturing-capacity</t>
  </si>
  <si>
    <t xml:space="preserve">2023-02-01</t>
  </si>
  <si>
    <t xml:space="preserve">Power-control board experience; capacity at chosen site.</t>
  </si>
  <si>
    <t xml:space="preserve">Orion ceramics (Z01, High)</t>
  </si>
  <si>
    <t xml:space="preserve">Tier-2 second source (push via CommonSpan)</t>
  </si>
  <si>
    <t xml:space="preserve">Rogers Corp. (curamik) – Chandler, AZ, US</t>
  </si>
  <si>
    <t xml:space="preserve">AMB Si3N4 and DBC substrates (Si3N4/AlN/Al2O3), Cu to 0.8 mm; automotive &amp; traction power.</t>
  </si>
  <si>
    <t xml:space="preserve">US/DE</t>
  </si>
  <si>
    <t xml:space="preserve">https://www.rogerscorp.com/advanced-electronics-solutions/technical-expertise/active-metal-brazing</t>
  </si>
  <si>
    <t xml:space="preserve">Module-level reliability requal by assembler; NovaDrive has no direct contract.</t>
  </si>
  <si>
    <t xml:space="preserve">Heraeus Electronics – Hanau, DE</t>
  </si>
  <si>
    <t xml:space="preserve">Condura.prime / Condura.ultra (Ag-free) Si3N4 AMB substrates, Cu 0.3-0.8 mm.</t>
  </si>
  <si>
    <t xml:space="preserve">Not stated</t>
  </si>
  <si>
    <t xml:space="preserve">https://www.heraeus-electronics.com/en/products-and-solutions/metal-ceramic-substrates/silicon-nitride-amb-substrates/</t>
  </si>
  <si>
    <t xml:space="preserve">Plant location; module requal.</t>
  </si>
  <si>
    <t xml:space="preserve">Estuary H20 (Z06 hazard)</t>
  </si>
  <si>
    <t xml:space="preserve">H20 cooling assembly</t>
  </si>
  <si>
    <t xml:space="preserve">Boyd Thermal (Eaton Corp. plc since 12-Mar-2026)</t>
  </si>
  <si>
    <t xml:space="preserve">Liquid cold plates, loops, CDUs; industrial, aerospace, data-centre; 6,000+ staff.</t>
  </si>
  <si>
    <t xml:space="preserve">NA, Asia, Europe</t>
  </si>
  <si>
    <t xml:space="preserve">https://www.eaton.com/us/en-us/company/news-insights/news-releases/2026/eaton-completes-acquisition-of-leading-liquid-cooling-solutions-provider-boyd-thermal.html</t>
  </si>
  <si>
    <t xml:space="preserve">2026-03-12</t>
  </si>
  <si>
    <t xml:space="preserve">New owner is prioritising AI data-centre cooling → capacity contention for industrial customers.</t>
  </si>
  <si>
    <t xml:space="preserve">Capacity commitment in writing; leak/burst validation; 6-wk qual.</t>
  </si>
  <si>
    <t xml:space="preserve">Wieland Group (Microcool) – Ulm, DE</t>
  </si>
  <si>
    <t xml:space="preserve">Liquid cooling plates / thermal-management assemblies.</t>
  </si>
  <si>
    <t xml:space="preserve">EU, NA</t>
  </si>
  <si>
    <t xml:space="preserve">Named plant IATF/ISO scope; brazing &amp; corrosion stack-up.</t>
  </si>
  <si>
    <t xml:space="preserve">Kestrel MCUs (presumed sole)</t>
  </si>
  <si>
    <t xml:space="preserve">MCU in C10/B10</t>
  </si>
  <si>
    <t xml:space="preserve">Platform: second MCU footprint at next board revision</t>
  </si>
  <si>
    <t xml:space="preserve">Texas Instruments Inc. – Dallas, TX, US</t>
  </si>
  <si>
    <t xml:space="preserve">C2000 real-time MCU family for motor control &amp; power conversion; new F28E12x launched 16-Sep-2025 shows family investment.</t>
  </si>
  <si>
    <t xml:space="preserve">US/global fabs</t>
  </si>
  <si>
    <t xml:space="preserve">https://www.ti.com/microcontrollers-mcus-processors/c2000-real-time-control-mcus/overview.html</t>
  </si>
  <si>
    <t xml:space="preserve">2025-09-16 (family release)</t>
  </si>
  <si>
    <t xml:space="preserve">Firmware port &amp; re-validation (~6 months); pin-compatibility none – design change.</t>
  </si>
  <si>
    <t xml:space="preserve">Grove/HarborSense B10 (Jade common)</t>
  </si>
  <si>
    <t xml:space="preserve">B10 battery-monitoring</t>
  </si>
  <si>
    <t xml:space="preserve">NovaDrive-owned BMS design + any qualified EMS</t>
  </si>
  <si>
    <t xml:space="preserve">NXP Semiconductors N.V. – Eindhoven, NL</t>
  </si>
  <si>
    <t xml:space="preserve">MC33771C 14-cell controller (ESS/UPS/EV), ISO 26262 to ASIL D.</t>
  </si>
  <si>
    <t xml:space="preserve">Safety manual, FMEDA; firmware ownership to avoid black-box lock-in.</t>
  </si>
  <si>
    <t xml:space="preserve">Lumen magnetics (presumed sole)</t>
  </si>
  <si>
    <t xml:space="preserve">Tier-2 second source (via assemblers)</t>
  </si>
  <si>
    <t xml:space="preserve">Ferroxcube (YAGEO Group) – Eindhoven, NL</t>
  </si>
  <si>
    <t xml:space="preserve">Mn-Zn ferrite cores for automotive EV/HEV power magnetics.</t>
  </si>
  <si>
    <t xml:space="preserve">https://www.ferroxcube.com/en-global/download/download/199</t>
  </si>
  <si>
    <t xml:space="preserve">Brochure, undated</t>
  </si>
  <si>
    <t xml:space="preserve">Material grade match; core losses at switching frequency.</t>
  </si>
  <si>
    <t xml:space="preserve">Search method (repeatable for the platform): (1) start from the flagged node's COMPONENT + APPLICATION criteria in the case Components sheet, not generic keywords; (2) choose the route – same-tier swap, second source one tier down via the Tier-1, or platform redesign; (3) take candidates only from manufacturer pages, dated press releases or filings; (4) score fitment on 6 criteria; (5) screen risk separately (financial events, ownership changes, closures, geography); (6) record what engineering must still prove. Independence test: an alternate that depends on the same failed node (e.g. a module maker buying IonPeak dies or Orion substrates) is NOT an alternate.</t>
  </si>
  <si>
    <t xml:space="preserve">Action roadmap – respond, hedge, restructure, govern</t>
  </si>
  <si>
    <t xml:space="preserve">Value protected = revenue-at-risk over time-to-recover for the node addressed (Scorecard), i.e. the exposure the action is designed to shrink.</t>
  </si>
  <si>
    <t xml:space="preserve">Horizon</t>
  </si>
  <si>
    <t xml:space="preserve">Action</t>
  </si>
  <si>
    <t xml:space="preserve">Node / alert addressed</t>
  </si>
  <si>
    <t xml:space="preserve">KPI / exit criterion</t>
  </si>
  <si>
    <t xml:space="preserve">Effort</t>
  </si>
  <si>
    <t xml:space="preserve">Value protected ($m, RaR)</t>
  </si>
  <si>
    <t xml:space="preserve">0-14 days: RESPOND</t>
  </si>
  <si>
    <t xml:space="preserve">Z01 census: through Aster, Boreal, Cobalt, Grove and HarborSense confirm SITE-074/081/116 status and weeks of die &amp; substrate cover (on hand + in transit via Harbor Freight); request pull-forward shipments out of Z01.</t>
  </si>
  <si>
    <t xml:space="preserve">IonPeak, Jade, Orion · EV-001</t>
  </si>
  <si>
    <t xml:space="preserve">CRO + power-electronics category lead</t>
  </si>
  <si>
    <t xml:space="preserve">Weeks of cover known for 100% of M10/M20/C10/B10 within 72h</t>
  </si>
  <si>
    <t xml:space="preserve">L</t>
  </si>
  <si>
    <t xml:space="preserve">Meridian: obtain Delta's film-source split and film inventory; raise C20 finished-goods buffer to ≥ 8 weeks (= C20 qualification lead time).</t>
  </si>
  <si>
    <t xml:space="preserve">Meridian → Delta · EV-003</t>
  </si>
  <si>
    <t xml:space="preserve">Passives category lead</t>
  </si>
  <si>
    <t xml:space="preserve">C20 cover ≥ 8 weeks; film-source split disclosed</t>
  </si>
  <si>
    <t xml:space="preserve">N-tier disclosure request to all 8 Tier-1s, prioritising presumed-sole links (Umber, Verdant, Orion, Lumen, Kestrel, Warden, Xenon, Meridian).</t>
  </si>
  <si>
    <t xml:space="preserve">All presumed-sole nodes</t>
  </si>
  <si>
    <t xml:space="preserve">Supplier risk analyst</t>
  </si>
  <si>
    <t xml:space="preserve">% of material links at grade A/B ≥ 90%; Low-confidence nodes halved</t>
  </si>
  <si>
    <t xml:space="preserve">Entity master-data hygiene: registry number, facility role and zone on every node; block keyword-only matching ("Ion Peak", "Delta", "Harbor Works").</t>
  </si>
  <si>
    <t xml:space="preserve">EV-004, EV-007, EV-009</t>
  </si>
  <si>
    <t xml:space="preserve">Zero false-positive alerts from name collisions</t>
  </si>
  <si>
    <t xml:space="preserve">15-90 days: HEDGE</t>
  </si>
  <si>
    <t xml:space="preserve">Qualify a second Tier-1 C20 source (TDK B25696H / Vishay MKP1848e) – cheapest, fastest hedge in the network (8-week qualification).</t>
  </si>
  <si>
    <t xml:space="preserve">Delta / Meridian</t>
  </si>
  <si>
    <t xml:space="preserve">Passives category lead + design engineering</t>
  </si>
  <si>
    <t xml:space="preserve">Second C20 source released by ~day 70</t>
  </si>
  <si>
    <t xml:space="preserve">M</t>
  </si>
  <si>
    <t xml:space="preserve">Secure NovaDrive ownership of the C10 data pack (Gerbers, BOM/AVL, firmware, test fixtures) from Cobalt, then release a second EMS site (Sanmina / Celestica / Kitron).</t>
  </si>
  <si>
    <t xml:space="preserve">Cobalt (100% of revenue)</t>
  </si>
  <si>
    <t xml:space="preserve">Electronics category lead</t>
  </si>
  <si>
    <t xml:space="preserve">Data pack in NovaDrive vault; 2nd EMS FAI passed</t>
  </si>
  <si>
    <t xml:space="preserve">Strategic die bank of 12-16 weeks held OUTSIDE Z01 at Aster/Boreal (negotiate with CommonSpan); bridges the gap until an alternate die/module route is qualified.</t>
  </si>
  <si>
    <t xml:space="preserve">IonPeak / CommonSpan</t>
  </si>
  <si>
    <t xml:space="preserve">CRO + finance (working capital)</t>
  </si>
  <si>
    <t xml:space="preserve">Die cover ≥ 12 weeks outside Z01</t>
  </si>
  <si>
    <t xml:space="preserve">Second PCB substrate fab outside Z01 (Schweizer / TTM) qualified for C10 first, then B10.</t>
  </si>
  <si>
    <t xml:space="preserve">Jade</t>
  </si>
  <si>
    <t xml:space="preserve">Second substrate qualified for C10</t>
  </si>
  <si>
    <t xml:space="preserve">Supplier corrective action plan for Cobalt (OTD 83.3%, −2.3pp; net debt/EBITDA 4.0x).</t>
  </si>
  <si>
    <t xml:space="preserve">Cobalt</t>
  </si>
  <si>
    <t xml:space="preserve">Supplier quality</t>
  </si>
  <si>
    <t xml:space="preserve">OTD ≥ 90% for 3 consecutive months</t>
  </si>
  <si>
    <t xml:space="preserve">3-12 months: RESTRUCTURE</t>
  </si>
  <si>
    <t xml:space="preserve">Second power-module platform independent of CommonSpan AND IonPeak/Orion: M10 via Semikron Danfoss stacks or Infineon/Mitsubishi/Fuji modules; M20 via SiC modules (Vincotech/Infineon). Engineer as a platform (common DC bus, gate-drive, pin-out adapter, cold plate).</t>
  </si>
  <si>
    <t xml:space="preserve">CommonSpan, IonPeak, Orion, Lumen</t>
  </si>
  <si>
    <t xml:space="preserve">CTO + CRO</t>
  </si>
  <si>
    <t xml:space="preserve">Second platform PPAP approved; die N_eff ≥ 2</t>
  </si>
  <si>
    <t xml:space="preserve">H</t>
  </si>
  <si>
    <t xml:space="preserve">Design a second MCU footprint / firmware abstraction layer into the next C10 and B10 revisions.</t>
  </si>
  <si>
    <t xml:space="preserve">Kestrel</t>
  </si>
  <si>
    <t xml:space="preserve">Embedded engineering</t>
  </si>
  <si>
    <t xml:space="preserve">Dual-MCU BOM released</t>
  </si>
  <si>
    <t xml:space="preserve">Only rebalance B10 80/20 → 50/50 after substrate independence; until then the split is cosmetic.</t>
  </si>
  <si>
    <t xml:space="preserve">Grove / HarborSense / Jade</t>
  </si>
  <si>
    <t xml:space="preserve">B10 substrate N_eff ≥ 2</t>
  </si>
  <si>
    <t xml:space="preserve">Contract clauses for all critical suppliers: sub-tier disclosure, PCN on fab/die/film/site change, BCP with recovery-time objective, capacity reservation, last-time-buy rights.</t>
  </si>
  <si>
    <t xml:space="preserve">All Tier-1</t>
  </si>
  <si>
    <t xml:space="preserve">Legal + procurement</t>
  </si>
  <si>
    <t xml:space="preserve">Clauses in 100% of renewals (current awards expire 31-Dec-2026)</t>
  </si>
  <si>
    <t xml:space="preserve">Ongoing: GOVERN</t>
  </si>
  <si>
    <t xml:space="preserve">Monthly CRO risk council: refresh scorecard; alert SLA – HIGH acknowledged in 24h; quarterly N-tier map refresh with confidence targets.</t>
  </si>
  <si>
    <t xml:space="preserve">Whole network</t>
  </si>
  <si>
    <t xml:space="preserve">CRO</t>
  </si>
  <si>
    <t xml:space="preserve">Scorecard refreshed monthly; alert SLA met</t>
  </si>
  <si>
    <t xml:space="preserve">Note: the awards for every Tier-1 run 1-Jan-2025 to 31-Dec-2026 – the 2027 re-award cycle is the natural moment to embed dual-sourcing and sub-tier clauses.</t>
  </si>
  <si>
    <t xml:space="preserve">Material unknowns – what we do not know, why it matters, how to close it</t>
  </si>
  <si>
    <t xml:space="preserve">Missing information is treated as uncertainty, never as low risk. Each line is a verification task, not an assumption we hide.</t>
  </si>
  <si>
    <t xml:space="preserve">Unknown</t>
  </si>
  <si>
    <t xml:space="preserve">Decision it affects</t>
  </si>
  <si>
    <t xml:space="preserve">How to resolve</t>
  </si>
  <si>
    <t xml:space="preserve">Is Meridian Delta's ONLY dielectric-film source?</t>
  </si>
  <si>
    <t xml:space="preserve">Whether EV-003 threatens 73% of revenue or a fraction</t>
  </si>
  <si>
    <t xml:space="preserve">Meridian, Delta</t>
  </si>
  <si>
    <t xml:space="preserve">Ask Delta for film-source split + inventory (48h)</t>
  </si>
  <si>
    <t xml:space="preserve">Passives lead</t>
  </si>
  <si>
    <t xml:space="preserve">Is NovaDrive's die family Si IGBT, SiC, or both?</t>
  </si>
  <si>
    <t xml:space="preserve">Whether Umber (SiC wafers) is truly in the critical path – it ranks #1 on an UPPER-BOUND assumption</t>
  </si>
  <si>
    <t xml:space="preserve">Umber, IonPeak</t>
  </si>
  <si>
    <t xml:space="preserve">Engineering BOM review of M10 vs M20 die types</t>
  </si>
  <si>
    <t xml:space="preserve">Power-electronics engineering</t>
  </si>
  <si>
    <t xml:space="preserve">Inventory / weeks of cover at every tier</t>
  </si>
  <si>
    <t xml:space="preserve">Converts time-to-recover into time-to-survive; sizes buffers</t>
  </si>
  <si>
    <t xml:space="preserve">All</t>
  </si>
  <si>
    <t xml:space="preserve">Inventory census via Tier-1s</t>
  </si>
  <si>
    <t xml:space="preserve">Supply chain planning</t>
  </si>
  <si>
    <t xml:space="preserve">Which zone are NovaDrive's own plants (Harbor, Plateau, Coastal Works) in?</t>
  </si>
  <si>
    <t xml:space="preserve">Whether events hit our own factories; avoids confusing Harbor Freight's "Harbor Works" site</t>
  </si>
  <si>
    <t xml:space="preserve">NovaDrive plants</t>
  </si>
  <si>
    <t xml:space="preserve">Internal facility register</t>
  </si>
  <si>
    <t xml:space="preserve">CRO office</t>
  </si>
  <si>
    <t xml:space="preserve">Where is "Gulf Arc" and which lanes use it?</t>
  </si>
  <si>
    <t xml:space="preserve">Whether EV-010 touches a single-source lane</t>
  </si>
  <si>
    <t xml:space="preserve">Tier-1 ocean lanes</t>
  </si>
  <si>
    <t xml:space="preserve">Forwarder booking data</t>
  </si>
  <si>
    <t xml:space="preserve">Can Boreal absorb Aster's M10/M20 volume (and vice versa)?</t>
  </si>
  <si>
    <t xml:space="preserve">Real value of the intra-CommonSpan split</t>
  </si>
  <si>
    <t xml:space="preserve">Aster, Boreal</t>
  </si>
  <si>
    <t xml:space="preserve">Capacity statement from CommonSpan</t>
  </si>
  <si>
    <t xml:space="preserve">Category lead</t>
  </si>
  <si>
    <t xml:space="preserve">Sole-source status of Orion, Lumen, Kestrel, Rill, Nacre, Pine, Quartz</t>
  </si>
  <si>
    <t xml:space="preserve">Presumed-sole links drive upper-bound exposure</t>
  </si>
  <si>
    <t xml:space="preserve">Tier-2</t>
  </si>
  <si>
    <t xml:space="preserve">N-tier disclosure request</t>
  </si>
  <si>
    <t xml:space="preserve">HarborSense MCU source (not disclosed)</t>
  </si>
  <si>
    <t xml:space="preserve">Whether B10 has MCU independence</t>
  </si>
  <si>
    <t xml:space="preserve">HarborSense, Kestrel</t>
  </si>
  <si>
    <t xml:space="preserve">Ask HarborSense</t>
  </si>
  <si>
    <t xml:space="preserve">Electronics lead</t>
  </si>
  <si>
    <t xml:space="preserve">Does NovaDrive own the C10 data pack?</t>
  </si>
  <si>
    <t xml:space="preserve">Whether a second EMS is a real alternate</t>
  </si>
  <si>
    <t xml:space="preserve">Contract &amp; PLM review</t>
  </si>
  <si>
    <t xml:space="preserve">Legal + engineering</t>
  </si>
  <si>
    <t xml:space="preserve">Verdant scope (process gases, inferred link)</t>
  </si>
  <si>
    <t xml:space="preserve">Keep or drop the Tier-3 node</t>
  </si>
  <si>
    <t xml:space="preserve">Verdant</t>
  </si>
  <si>
    <t xml:space="preserve">Ask IonPeak via Aster</t>
  </si>
  <si>
    <t xml:space="preserve">Tier-2/3 behind Estuary, ForgeLine and Cobalt beyond the mapped inputs</t>
  </si>
  <si>
    <t xml:space="preserve">Completeness of the map</t>
  </si>
  <si>
    <t xml:space="preserve">Estuary, ForgeLine, Cobalt</t>
  </si>
  <si>
    <t xml:space="preserve">N-tier survey</t>
  </si>
  <si>
    <t xml:space="preserve">Solace Optics – will the Grove sample become a serial award?</t>
  </si>
  <si>
    <t xml:space="preserve">Possible future B10 Tier-2 (Z08)</t>
  </si>
  <si>
    <t xml:space="preserve">Solace, Grove</t>
  </si>
  <si>
    <t xml:space="preserve">Track Grove award notices</t>
  </si>
  <si>
    <t xml:space="preserve">Sensitivity – does the ranking survive different weightings?</t>
  </si>
  <si>
    <t xml:space="preserve">If a node stays top-5 under most scenarios, the conclusion does not depend on our judgement calls.</t>
  </si>
  <si>
    <t xml:space="preserve">Scenario</t>
  </si>
  <si>
    <t xml:space="preserve">w Financial</t>
  </si>
  <si>
    <t xml:space="preserve">w Operational</t>
  </si>
  <si>
    <t xml:space="preserve">w Assurance</t>
  </si>
  <si>
    <t xml:space="preserve">w Geographic</t>
  </si>
  <si>
    <t xml:space="preserve">w Revenue exposure</t>
  </si>
  <si>
    <t xml:space="preserve">w Recovery</t>
  </si>
  <si>
    <t xml:space="preserve">w Centrality</t>
  </si>
  <si>
    <t xml:space="preserve">Rationale</t>
  </si>
  <si>
    <t xml:space="preserve">S1 Base case</t>
  </si>
  <si>
    <t xml:space="preserve">Team weights</t>
  </si>
  <si>
    <t xml:space="preserve">S2 Equal weights</t>
  </si>
  <si>
    <t xml:space="preserve">No judgement on relative importance</t>
  </si>
  <si>
    <t xml:space="preserve">S3 Credit-risk lens</t>
  </si>
  <si>
    <t xml:space="preserve">Treasury/credit view</t>
  </si>
  <si>
    <t xml:space="preserve">S4 Climate &amp; logistics lens</t>
  </si>
  <si>
    <t xml:space="preserve">Physical-risk view</t>
  </si>
  <si>
    <t xml:space="preserve">S5 Revenue-only impact</t>
  </si>
  <si>
    <t xml:space="preserve">Ignores recovery time and centrality</t>
  </si>
  <si>
    <t xml:space="preserve">Node</t>
  </si>
  <si>
    <t xml:space="preserve">Assurance</t>
  </si>
  <si>
    <t xml:space="preserve">Overlay</t>
  </si>
  <si>
    <t xml:space="preserve">Share</t>
  </si>
  <si>
    <t xml:space="preserve">Recovery</t>
  </si>
  <si>
    <t xml:space="preserve">Centrality</t>
  </si>
  <si>
    <t xml:space="preserve">P S1</t>
  </si>
  <si>
    <t xml:space="preserve">P S2</t>
  </si>
  <si>
    <t xml:space="preserve">P S3</t>
  </si>
  <si>
    <t xml:space="preserve">P S4</t>
  </si>
  <si>
    <t xml:space="preserve">P S5</t>
  </si>
  <si>
    <t xml:space="preserve">Rank S1</t>
  </si>
  <si>
    <t xml:space="preserve">Rank S2</t>
  </si>
  <si>
    <t xml:space="preserve">Rank S3</t>
  </si>
  <si>
    <t xml:space="preserve">Rank S4</t>
  </si>
  <si>
    <t xml:space="preserve">Rank S5</t>
  </si>
  <si>
    <t xml:space="preserve"># scenarios in top-5</t>
  </si>
  <si>
    <t xml:space="preserve">Best rank</t>
  </si>
  <si>
    <t xml:space="preserve">Worst rank</t>
  </si>
  <si>
    <t xml:space="preserve">Read-out: nodes with "# scenarios in top-5" = 5 are robust priorities regardless of weighting; a wide best/worst spread means the conclusion depends on the lens and should be presented with that caveat.</t>
  </si>
  <si>
    <t xml:space="preserve">Assumptions &amp; model levers</t>
  </si>
  <si>
    <t xml:space="preserve">Blue = input you can change; yellow fill = key judgement. Every score on other tabs recalculates from these cells.</t>
  </si>
  <si>
    <t xml:space="preserve">Product</t>
  </si>
  <si>
    <t xml:space="preserve">Annual revenue ($m)</t>
  </si>
  <si>
    <t xml:space="preserve">Weekly revenue ($m)</t>
  </si>
  <si>
    <t xml:space="preserve">Source / note</t>
  </si>
  <si>
    <t xml:space="preserve">P1 DriveCore</t>
  </si>
  <si>
    <t xml:space="preserve">Case workbook, Business Context sheet</t>
  </si>
  <si>
    <t xml:space="preserve">P2 ChargeBridge</t>
  </si>
  <si>
    <t xml:space="preserve">P3 StoreLink</t>
  </si>
  <si>
    <t xml:space="preserve">Total</t>
  </si>
  <si>
    <t xml:space="preserve">VULNERABILITY (likelihood) pillar weights</t>
  </si>
  <si>
    <t xml:space="preserve">Financial (leverage + liquidity)</t>
  </si>
  <si>
    <t xml:space="preserve">Balance-sheet capacity to absorb a shock</t>
  </si>
  <si>
    <t xml:space="preserve">Operational (OTD level + trend)</t>
  </si>
  <si>
    <t xml:space="preserve">Delivery performance now and direction of travel</t>
  </si>
  <si>
    <t xml:space="preserve">Assurance gap index</t>
  </si>
  <si>
    <t xml:space="preserve">Case index, used as given (higher = weaker assurance)</t>
  </si>
  <si>
    <t xml:space="preserve">Geographic (avg of hazard, logistics, infrastructure)</t>
  </si>
  <si>
    <t xml:space="preserve">Zone-level indices from case data</t>
  </si>
  <si>
    <t xml:space="preserve">Check: sum of pillar weights</t>
  </si>
  <si>
    <t xml:space="preserve">Within Financial: leverage weight</t>
  </si>
  <si>
    <t xml:space="preserve">Within Financial: liquidity weight</t>
  </si>
  <si>
    <t xml:space="preserve">Within Operational: OTD level weight</t>
  </si>
  <si>
    <t xml:space="preserve">Within Operational: OTD trend weight</t>
  </si>
  <si>
    <t xml:space="preserve">Confirmed adverse event overlay (points added to V)</t>
  </si>
  <si>
    <t xml:space="preserve">Applied only where an event feed item independently confirms stress at that entity (EV-003 → Meridian). Zone-level watches are NOT added, to avoid double counting the physical-hazard index.</t>
  </si>
  <si>
    <t xml:space="preserve">IMPACT (business consequence) weights</t>
  </si>
  <si>
    <t xml:space="preserve">Revenue exposure (share of $1.56bn flowing through node)</t>
  </si>
  <si>
    <t xml:space="preserve">Derived by propagating Tier-1 allocations up the mapped network</t>
  </si>
  <si>
    <t xml:space="preserve">Recovery difficulty (time-to-recover vs cap)</t>
  </si>
  <si>
    <t xml:space="preserve">TTR weeks per node set on Scorecard tab</t>
  </si>
  <si>
    <t xml:space="preserve">Network centrality (Tier-1 suppliers depending on node)</t>
  </si>
  <si>
    <t xml:space="preserve">Captures hidden common-mode dependencies</t>
  </si>
  <si>
    <t xml:space="preserve">TTR cap (weeks) = score 100</t>
  </si>
  <si>
    <t xml:space="preserve">Upper end of die re-qualification window</t>
  </si>
  <si>
    <t xml:space="preserve">Max downstream Tier-1 count = score 100</t>
  </si>
  <si>
    <t xml:space="preserve">Jade feeds 3 Tier-1s, the maximum observed</t>
  </si>
  <si>
    <t xml:space="preserve">NORMALISATION CURVES (raw indicator → 0-100 risk score, piecewise linear)</t>
  </si>
  <si>
    <t xml:space="preserve">Metric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</si>
  <si>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</si>
  <si>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</si>
  <si>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</si>
  <si>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</si>
  <si>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</si>
  <si>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</si>
  <si>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</si>
  <si>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</si>
  <si>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</si>
  <si>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</si>
  <si>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</si>
  <si>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</si>
  <si>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Basis</t>
  </si>
  <si>
    <t xml:space="preserve">Leverage: Net debt / EBITDA (x)</t>
  </si>
  <si>
    <t xml:space="preserve">Bands from team research: &lt;2.5x safe, 2.5-4.0x at risk, &gt;4.0x escalation</t>
  </si>
  <si>
    <t xml:space="preserve">Liquidity: current ratio (x)</t>
  </si>
  <si>
    <t xml:space="preserve">≥1.5x safe, 1.0-1.49x at risk, &lt;0.8x critical</t>
  </si>
  <si>
    <t xml:space="preserve">OTD 3-month average (%)</t>
  </si>
  <si>
    <t xml:space="preserve">OTD penalty ladder from team research (95% = stable)</t>
  </si>
  <si>
    <t xml:space="preserve">OTD change Jan→latest (pp)</t>
  </si>
  <si>
    <t xml:space="preserve">Decline &gt;15pp = critical; improvement = no penalty</t>
  </si>
  <si>
    <t xml:space="preserve">Missing-data rule: impute this percentile of peers (conservative, never zero)</t>
  </si>
  <si>
    <t xml:space="preserve">Handbook: "missing information should not automatically be treated as low risk". Imputed cells are flagged on the Scorecard and reduce the confidence grade.</t>
  </si>
  <si>
    <t xml:space="preserve">PRIORITY BANDS (Priority = Impact × Vulnerability / 100)</t>
  </si>
  <si>
    <t xml:space="preserve">Critical if ≥</t>
  </si>
  <si>
    <t xml:space="preserve">High if ≥</t>
  </si>
  <si>
    <t xml:space="preserve">Elevated if ≥</t>
  </si>
  <si>
    <t xml:space="preserve">Quadrant: Impact high if ≥</t>
  </si>
  <si>
    <t xml:space="preserve">Quadrant: Vulnerability high if ≥</t>
  </si>
  <si>
    <t xml:space="preserve">Confidence High if points ≥</t>
  </si>
  <si>
    <t xml:space="preserve">Confidence Medium if points ≥</t>
  </si>
  <si>
    <t xml:space="preserve">Confidence points (0-6) = link evidence grade (A3/B2/C1/D0) + data completeness (8 indicators=2, 6-7=1, ≤5=0) + dependency certainty (allocation or sole-source confirmed=1). Kept SEPARATE from risk.</t>
  </si>
  <si>
    <t xml:space="preserve">ALTERNATE-SUPPLIER FITMENT weights (risk screened separately)</t>
  </si>
  <si>
    <t xml:space="preserve">Technical capability match</t>
  </si>
  <si>
    <t xml:space="preserve">Application relevance</t>
  </si>
  <si>
    <t xml:space="preserve">Footprint &amp; independence from the failed node</t>
  </si>
  <si>
    <t xml:space="preserve">Scale / capacity</t>
  </si>
  <si>
    <t xml:space="preserve">Industry presence &amp; quality systems</t>
  </si>
  <si>
    <t xml:space="preserve">Qualification ease (inverse of effort/time)</t>
  </si>
  <si>
    <t xml:space="preserve">Check: sum of fitment weights</t>
  </si>
  <si>
    <t xml:space="preserve">Shortlist for RFI if fitment ≥</t>
  </si>
  <si>
    <t xml:space="preserve">Reserve candidate if fitment ≥</t>
  </si>
  <si>
    <t xml:space="preserve">ALERT ENGINE</t>
  </si>
  <si>
    <t xml:space="preserve">Alert High if score ≥</t>
  </si>
  <si>
    <t xml:space="preserve">Alert Medium if score ≥</t>
  </si>
  <si>
    <t xml:space="preserve">Alert Low if score ≥</t>
  </si>
  <si>
    <t xml:space="preserve">Stale if published more than N days after effective date</t>
  </si>
  <si>
    <t xml:space="preserve">Case data cut-off (fictional network, evidence &amp; event feed)</t>
  </si>
  <si>
    <t xml:space="preserve">Latest event date in the case feed. Network, scorecard and alerts are assessed as at this date.</t>
  </si>
  <si>
    <t xml:space="preserve">Market research as-of (real alternate suppliers)</t>
  </si>
  <si>
    <t xml:space="preserve">Handbook: use CURRENT public sources for alternates. Alternates tab reflects public information up to this date (e.g. 2026 product launches, closures, acquisitions). The two dates are deliberately different.</t>
  </si>
  <si>
    <t xml:space="preserve">Model integrity checks</t>
  </si>
  <si>
    <t xml:space="preserve">Every check should read PASS before submission. Thresholds are referenced by name (ALERT_HIGH, ALERT_MEDIUM, ALERT_LOW, STALE_DAYS, CASE_CUTOFF, RESEARCH_ASOF) so a row move on Assumptions cannot silently break them.</t>
  </si>
  <si>
    <t xml:space="preserve">Check</t>
  </si>
  <si>
    <t xml:space="preserve">Value</t>
  </si>
  <si>
    <t xml:space="preserve">Status</t>
  </si>
  <si>
    <t xml:space="preserve">Vulnerability pillar weights sum to 100%</t>
  </si>
  <si>
    <t xml:space="preserve">Impact weights sum to 100%</t>
  </si>
  <si>
    <t xml:space="preserve">Fitment weights sum to 100%</t>
  </si>
  <si>
    <t xml:space="preserve">Alert thresholds ordered High &gt; Medium &gt; Low</t>
  </si>
  <si>
    <t xml:space="preserve">Stale threshold (days) is a positive number and larger than any alert threshold</t>
  </si>
  <si>
    <t xml:space="preserve">Market research date is on/after case cut-off</t>
  </si>
  <si>
    <t xml:space="preserve">Scorecard ranks are unique (1-25)</t>
  </si>
  <si>
    <t xml:space="preserve">All product exposures between 0% and 100%</t>
  </si>
  <si>
    <t xml:space="preserve">Every Tier-1 link is evidence grade A</t>
  </si>
  <si>
    <t xml:space="preserve">Evidence ledger holds all 59 case records</t>
  </si>
  <si>
    <t xml:space="preserve">No formula errors – Scorecard</t>
  </si>
  <si>
    <t xml:space="preserve">No formula errors – Network / Concentration</t>
  </si>
  <si>
    <t xml:space="preserve">No formula errors – Alerts / Alternates</t>
  </si>
  <si>
    <t xml:space="preserve">Sensitivity ranks unique in every scenario</t>
  </si>
  <si>
    <t xml:space="preserve">Duplicate event EV-002 is merged, not counted</t>
  </si>
  <si>
    <t xml:space="preserve">OVERALL</t>
  </si>
  <si>
    <t xml:space="preserve">Circular references: none. Exposure flows strictly Tier-1 → Tier-2 → Tier-3 because each tier's lookup range covers only the tier below it.</t>
  </si>
  <si>
    <t xml:space="preserve">Case data (verbatim copy from Samanvay_Consularium_NovaDrive_Data.xlsx)</t>
  </si>
  <si>
    <t xml:space="preserve">Source: case workbook supplied by organisers. Used by formulas on other tabs; do not edit.</t>
  </si>
  <si>
    <t xml:space="preserve">Entity ID</t>
  </si>
  <si>
    <t xml:space="preserve">Legal Name</t>
  </si>
  <si>
    <t xml:space="preserve">Current Ratio</t>
  </si>
  <si>
    <t xml:space="preserve">Net Debt / EBITDA</t>
  </si>
  <si>
    <t xml:space="preserve">Shipment Timeliness - 3M Avg (%)</t>
  </si>
  <si>
    <t xml:space="preserve">Timeliness Change - Jan To Latest (pp)</t>
  </si>
  <si>
    <t xml:space="preserve">Assurance Gap Index</t>
  </si>
  <si>
    <t xml:space="preserve">Physical Hazard Index</t>
  </si>
  <si>
    <t xml:space="preserve">Logistics Friction Index</t>
  </si>
  <si>
    <t xml:space="preserve">Infrastructure Index</t>
  </si>
  <si>
    <t xml:space="preserve">Supplier Universe</t>
  </si>
  <si>
    <t xml:space="preserve">Entity Type</t>
  </si>
  <si>
    <t xml:space="preserve">Public Capability</t>
  </si>
  <si>
    <t xml:space="preserve">Registered Market</t>
  </si>
  <si>
    <t xml:space="preserve">Registered Zone</t>
  </si>
  <si>
    <t xml:space="preserve">Primary Facility ID</t>
  </si>
  <si>
    <t xml:space="preserve">Primary Facility Name</t>
  </si>
  <si>
    <t xml:space="preserve">Facility Zone</t>
  </si>
  <si>
    <t xml:space="preserve">Facility Role</t>
  </si>
  <si>
    <t xml:space="preserve">Facility Capability</t>
  </si>
  <si>
    <t xml:space="preserve">Other Known Site / Note</t>
  </si>
  <si>
    <t xml:space="preserve">Manufacturer</t>
  </si>
  <si>
    <t xml:space="preserve">Power assemblies M10/M20</t>
  </si>
  <si>
    <t xml:space="preserve">Norland</t>
  </si>
  <si>
    <t xml:space="preserve">Aster Works</t>
  </si>
  <si>
    <t xml:space="preserve">Manufacturing</t>
  </si>
  <si>
    <t xml:space="preserve">Westmere</t>
  </si>
  <si>
    <t xml:space="preserve">Boreal Works</t>
  </si>
  <si>
    <t xml:space="preserve">Control board C10</t>
  </si>
  <si>
    <t xml:space="preserve">Estara</t>
  </si>
  <si>
    <t xml:space="preserve">Cobalt Works</t>
  </si>
  <si>
    <t xml:space="preserve">Holding company</t>
  </si>
  <si>
    <t xml:space="preserve">CommonSpan Works</t>
  </si>
  <si>
    <t xml:space="preserve">Office or service</t>
  </si>
  <si>
    <t xml:space="preserve">Capacitor C20</t>
  </si>
  <si>
    <t xml:space="preserve">Delta Works</t>
  </si>
  <si>
    <t xml:space="preserve">Consumer packaging</t>
  </si>
  <si>
    <t xml:space="preserve">Cooling assembly H20</t>
  </si>
  <si>
    <t xml:space="preserve">Talora</t>
  </si>
  <si>
    <t xml:space="preserve">Estuary Works</t>
  </si>
  <si>
    <t xml:space="preserve">Housing H10</t>
  </si>
  <si>
    <t xml:space="preserve">ForgeLine Works</t>
  </si>
  <si>
    <t xml:space="preserve">Battery monitor B10</t>
  </si>
  <si>
    <t xml:space="preserve">Grove Works</t>
  </si>
  <si>
    <t xml:space="preserve">Logistics or intermediary</t>
  </si>
  <si>
    <t xml:space="preserve">Freight forwarding</t>
  </si>
  <si>
    <t xml:space="preserve">Harbor Works</t>
  </si>
  <si>
    <t xml:space="preserve">HarborSense Works</t>
  </si>
  <si>
    <t xml:space="preserve">Trade brokerage</t>
  </si>
  <si>
    <t xml:space="preserve">Ion Works</t>
  </si>
  <si>
    <t xml:space="preserve">Power semiconductor dies</t>
  </si>
  <si>
    <t xml:space="preserve">IonPeak Works</t>
  </si>
  <si>
    <t xml:space="preserve">SITE-900 - IonPeak Western Development Center (Research and pilot line, Z05)</t>
  </si>
  <si>
    <t xml:space="preserve">Jade Works</t>
  </si>
  <si>
    <t xml:space="preserve">Printed circuit substrates</t>
  </si>
  <si>
    <t xml:space="preserve">SITE-901 - Jade Corporate Office (Headquarters only, Z07)</t>
  </si>
  <si>
    <t xml:space="preserve">Microcontrollers</t>
  </si>
  <si>
    <t xml:space="preserve">Kestrel Works</t>
  </si>
  <si>
    <t xml:space="preserve">Magnetic cores</t>
  </si>
  <si>
    <t xml:space="preserve">Lumen Works</t>
  </si>
  <si>
    <t xml:space="preserve">Dielectric film</t>
  </si>
  <si>
    <t xml:space="preserve">Meridian Works</t>
  </si>
  <si>
    <t xml:space="preserve">Aluminum foil</t>
  </si>
  <si>
    <t xml:space="preserve">Nacre Works</t>
  </si>
  <si>
    <t xml:space="preserve">Ceramic substrates</t>
  </si>
  <si>
    <t xml:space="preserve">Orion Works</t>
  </si>
  <si>
    <t xml:space="preserve">Thermal metals</t>
  </si>
  <si>
    <t xml:space="preserve">Pine Works</t>
  </si>
  <si>
    <t xml:space="preserve">Aluminum alloy</t>
  </si>
  <si>
    <t xml:space="preserve">Quartz Works</t>
  </si>
  <si>
    <t xml:space="preserve">Connectors</t>
  </si>
  <si>
    <t xml:space="preserve">Rill Works</t>
  </si>
  <si>
    <t xml:space="preserve">Isolation optics</t>
  </si>
  <si>
    <t xml:space="preserve">Solace Works</t>
  </si>
  <si>
    <t xml:space="preserve">Silicon-carbide wafers</t>
  </si>
  <si>
    <t xml:space="preserve">Umber Works</t>
  </si>
  <si>
    <t xml:space="preserve">Process gases</t>
  </si>
  <si>
    <t xml:space="preserve">Verdant Works</t>
  </si>
  <si>
    <t xml:space="preserve">Copper foil</t>
  </si>
  <si>
    <t xml:space="preserve">Warden Works</t>
  </si>
  <si>
    <t xml:space="preserve">Resin</t>
  </si>
  <si>
    <t xml:space="preserve">Xenon Works</t>
  </si>
  <si>
    <t xml:space="preserve">Specialty minerals</t>
  </si>
  <si>
    <t xml:space="preserve">Yarrow Works</t>
  </si>
  <si>
    <t xml:space="preserve">Polymer</t>
  </si>
  <si>
    <t xml:space="preserve">Zenith Works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</si>
</sst>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"/>
    <numFmt numFmtId="166" formatCode="\$#,##0"/>
    <numFmt numFmtId="167" formatCode="0.00"/>
    <numFmt numFmtId="168" formatCode="0%"/>
    <numFmt numFmtId="169" formatCode="0.0%"/>
    <numFmt numFmtId="170" formatCode="\$#,##0.0"/>
    <numFmt numFmtId="171" formatCode="0"/>
    <numFmt numFmtId="172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C6E0B4"/>
        <bgColor rgb="FFD9E1F2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  <fill>
      <patternFill patternType="solid">
        <fgColor rgb="FFDDEBF7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6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40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</row>
    <row r="5" customFormat="false" ht="57.75" hidden="false" customHeight="true" outlineLevel="0" collapsed="false">
      <c r="A5" s="4" t="str">
        <f aca="false">"(a) One flood-watch zone sits behind 100% of revenue. East Delta (Z01) hosts IonPeak – the only qualified die source for BOTH power assemblers – and Jade – the only substrate source for every control and battery board. Weekly revenue exposed: "&amp;TEXT(Scorecard!AJ15,"$#,##0.0")&amp;"m. Revenue-at-risk over the die re-qualification window: "&amp;TEXT(Scorecard!AK15,"$#,##0")&amp;"m (no buffer). EV-001 is a WATCH, not damage: verify and pre-position now."</f>
        <v>(a) One flood-watch zone sits behind 100% of revenue. East Delta (Z01) hosts IonPeak – the only qualified die source for BOTH power assemblers – and Jade – the only substrate source for every control and battery board. Weekly revenue exposed: $30.0m. Revenue-at-risk over the die re-qualification window: $1,080m (no buffer). EV-001 is a WATCH, not damage: verify and pre-position now.</v>
      </c>
      <c r="B5" s="4"/>
      <c r="C5" s="4"/>
      <c r="D5" s="4"/>
      <c r="E5" s="4"/>
      <c r="F5" s="4"/>
      <c r="G5" s="4"/>
      <c r="H5" s="4"/>
      <c r="I5" s="4"/>
    </row>
    <row r="6" customFormat="false" ht="43.5" hidden="false" customHeight="true" outlineLevel="0" collapsed="false">
      <c r="A6" s="4" t="str">
        <f aca="false">"(b) Our dual sourcing is largely an illusion. M10/M20 look 60/40 and 70/30, but CommonSpan owns both assemblers and both use the same IonPeak dies, Orion ceramics and Lumen magnetics: effective independent sources fall from "&amp;TEXT(Concentration!D5,"0.00")&amp;" to 1.0. B10's 80/20 split collapses from "&amp;TEXT(Concentration!D11,"0.00")&amp;" to 1.0 at the Jade substrate."</f>
        <v>(b) Our dual sourcing is largely an illusion. M10/M20 look 60/40 and 70/30, but CommonSpan owns both assemblers and both use the same IonPeak dies, Orion ceramics and Lumen magnetics: effective independent sources fall from 1.92 to 1.0. B10's 80/20 split collapses from 1.47 to 1.0 at the Jade substrate.</v>
      </c>
      <c r="B6" s="4"/>
      <c r="C6" s="4"/>
      <c r="D6" s="4"/>
      <c r="E6" s="4"/>
      <c r="F6" s="4"/>
      <c r="G6" s="4"/>
      <c r="H6" s="4"/>
      <c r="I6" s="4"/>
    </row>
    <row r="7" customFormat="false" ht="43.5" hidden="false" customHeight="true" outlineLevel="0" collapsed="false">
      <c r="A7" s="4" t="str">
        <f aca="false">"(c) The capacitor chain is under live financial stress. Meridian (film for Delta's 100%-allocated C20) has the network's worst finances – current ratio "&amp;TEXT(Scorecard!K21,"0.00")&amp;", net debt/EBITDA "&amp;TEXT(Scorecard!L21,"0.0")&amp;"x, OTD "&amp;TEXT(Scorecard!M21,"0.0")&amp;"% ("&amp;TEXT(Scorecard!N21,"0.0")&amp;"pp) – and EV-003 confirms covenant talks. Meridian's film feeds Delta's C20 capacitor, on which "&amp;TEXT(Scorecard!AI9,"0%")&amp;" of revenue depends (Delta's exposure; Meridian inherits it as Delta's only mapped film supplier)."</f>
        <v>(c) The capacitor chain is under live financial stress. Meridian (film for Delta's 100%-allocated C20) has the network's worst finances – current ratio 0.62, net debt/EBITDA 7.2x, OTD 76.4% (-17.6pp) – and EV-003 confirms covenant talks. Meridian's film feeds Delta's C20 capacitor, on which 73% of revenue depends (Delta's exposure; Meridian inherits it as Delta's only mapped film supplier).</v>
      </c>
      <c r="B7" s="4"/>
      <c r="C7" s="4"/>
      <c r="D7" s="4"/>
      <c r="E7" s="4"/>
      <c r="F7" s="4"/>
      <c r="G7" s="4"/>
      <c r="H7" s="4"/>
      <c r="I7" s="4"/>
    </row>
    <row r="8" customFormat="false" ht="31.5" hidden="false" customHeight="true" outlineLevel="0" collapsed="false">
      <c r="A8" s="4" t="str">
        <f aca="false">"(d) Cobalt is a single Tier-1 source for the control board in ALL three products, in a high-hazard zone (Z04). Revenue-at-risk over its 12-week qualification: "&amp;TEXT(Scorecard!AK8,"$#,##0")&amp;"m. Z04 is a second zone that could stop 100% of revenue."</f>
        <v>(d) Cobalt is a single Tier-1 source for the control board in ALL three products, in a high-hazard zone (Z04). Revenue-at-risk over its 12-week qualification: $360m. Z04 is a second zone that could stop 100% of revenue.</v>
      </c>
      <c r="B8" s="4"/>
      <c r="C8" s="4"/>
      <c r="D8" s="4"/>
      <c r="E8" s="4"/>
      <c r="F8" s="4"/>
      <c r="G8" s="4"/>
      <c r="H8" s="4"/>
      <c r="I8" s="4"/>
    </row>
    <row r="9" customFormat="false" ht="30" hidden="false" customHeight="true" outlineLevel="0" collapsed="false">
      <c r="A9" s="4" t="s">
        <v>3</v>
      </c>
      <c r="B9" s="4"/>
      <c r="C9" s="4"/>
      <c r="D9" s="4"/>
      <c r="E9" s="4"/>
      <c r="F9" s="4"/>
      <c r="G9" s="4"/>
      <c r="H9" s="4"/>
      <c r="I9" s="4"/>
    </row>
    <row r="11" customFormat="false" ht="15" hidden="false" customHeight="true" outlineLevel="0" collapsed="false">
      <c r="A11" s="3" t="s">
        <v>4</v>
      </c>
      <c r="B11" s="3"/>
      <c r="C11" s="3"/>
      <c r="D11" s="3"/>
      <c r="E11" s="3"/>
      <c r="F11" s="3"/>
      <c r="G11" s="3"/>
      <c r="H11" s="3"/>
      <c r="I11" s="3"/>
    </row>
    <row r="12" customFormat="false" ht="23.85" hidden="false" customHeight="false" outlineLevel="0" collapsed="false">
      <c r="A12" s="5" t="s">
        <v>5</v>
      </c>
      <c r="B12" s="5" t="s">
        <v>6</v>
      </c>
      <c r="C12" s="5" t="s">
        <v>7</v>
      </c>
      <c r="D12" s="5" t="s">
        <v>8</v>
      </c>
      <c r="E12" s="5" t="s">
        <v>9</v>
      </c>
      <c r="F12" s="5" t="s">
        <v>10</v>
      </c>
      <c r="G12" s="5" t="s">
        <v>11</v>
      </c>
      <c r="H12" s="5" t="s">
        <v>12</v>
      </c>
      <c r="I12" s="5" t="s">
        <v>13</v>
      </c>
    </row>
    <row r="13" customFormat="false" ht="15" hidden="false" customHeight="false" outlineLevel="0" collapsed="false">
      <c r="A13" s="6" t="n">
        <v>1</v>
      </c>
      <c r="B13" s="7" t="str">
        <f aca="false">INDEX(Scorecard!$B$6:$B$30,MATCH(1,Scorecard!$AP$6:$AP$30,0))</f>
        <v>Umber Silicon Carbide Ltd.</v>
      </c>
      <c r="C13" s="7" t="n">
        <f aca="false">INDEX(Scorecard!$C$6:$C$30,MATCH(1,Scorecard!$AP$6:$AP$30,0))</f>
        <v>3</v>
      </c>
      <c r="D13" s="7" t="str">
        <f aca="false">INDEX(Scorecard!$F$6:$F$30,MATCH(1,Scorecard!$AP$6:$AP$30,0))</f>
        <v>Z01</v>
      </c>
      <c r="E13" s="8" t="n">
        <f aca="false">INDEX(Scorecard!$AO$6:$AO$30,MATCH(1,Scorecard!$AP$6:$AP$30,0))</f>
        <v>51.0821111111111</v>
      </c>
      <c r="F13" s="7" t="str">
        <f aca="false">INDEX(Scorecard!$AQ$6:$AQ$30,MATCH(1,Scorecard!$AP$6:$AP$30,0))</f>
        <v>Critical</v>
      </c>
      <c r="G13" s="7" t="str">
        <f aca="false">INDEX(Scorecard!$AX$6:$AX$30,MATCH(1,Scorecard!$AP$6:$AP$30,0))</f>
        <v>Low</v>
      </c>
      <c r="H13" s="9" t="str">
        <f aca="false">INDEX(Scorecard!$AY$6:$AY$30,MATCH(1,Scorecard!$AP$6:$AP$30,0))</f>
        <v>VERIFY first – urgent sub-tier fact-find</v>
      </c>
      <c r="I13" s="10" t="n">
        <f aca="false">INDEX(Scorecard!$AK$6:$AK$30,MATCH(1,Scorecard!$AP$6:$AP$30,0))</f>
        <v>1080</v>
      </c>
    </row>
    <row r="14" customFormat="false" ht="15" hidden="false" customHeight="false" outlineLevel="0" collapsed="false">
      <c r="A14" s="6" t="n">
        <v>2</v>
      </c>
      <c r="B14" s="7" t="str">
        <f aca="false">INDEX(Scorecard!$B$6:$B$30,MATCH(2,Scorecard!$AP$6:$AP$30,0))</f>
        <v>IonPeak Semiconductor Ltd.</v>
      </c>
      <c r="C14" s="7" t="n">
        <f aca="false">INDEX(Scorecard!$C$6:$C$30,MATCH(2,Scorecard!$AP$6:$AP$30,0))</f>
        <v>2</v>
      </c>
      <c r="D14" s="7" t="str">
        <f aca="false">INDEX(Scorecard!$F$6:$F$30,MATCH(2,Scorecard!$AP$6:$AP$30,0))</f>
        <v>Z01</v>
      </c>
      <c r="E14" s="8" t="n">
        <f aca="false">INDEX(Scorecard!$AO$6:$AO$30,MATCH(2,Scorecard!$AP$6:$AP$30,0))</f>
        <v>47.0431111111111</v>
      </c>
      <c r="F14" s="7" t="str">
        <f aca="false">INDEX(Scorecard!$AQ$6:$AQ$30,MATCH(2,Scorecard!$AP$6:$AP$30,0))</f>
        <v>Critical</v>
      </c>
      <c r="G14" s="7" t="str">
        <f aca="false">INDEX(Scorecard!$AX$6:$AX$30,MATCH(2,Scorecard!$AP$6:$AP$30,0))</f>
        <v>High</v>
      </c>
      <c r="H14" s="9" t="str">
        <f aca="false">INDEX(Scorecard!$AY$6:$AY$30,MATCH(2,Scorecard!$AP$6:$AP$30,0))</f>
        <v>ACT – mitigate now</v>
      </c>
      <c r="I14" s="10" t="n">
        <f aca="false">INDEX(Scorecard!$AK$6:$AK$30,MATCH(2,Scorecard!$AP$6:$AP$30,0))</f>
        <v>1080</v>
      </c>
    </row>
    <row r="15" customFormat="false" ht="15" hidden="false" customHeight="false" outlineLevel="0" collapsed="false">
      <c r="A15" s="6" t="n">
        <v>3</v>
      </c>
      <c r="B15" s="7" t="str">
        <f aca="false">INDEX(Scorecard!$B$6:$B$30,MATCH(3,Scorecard!$AP$6:$AP$30,0))</f>
        <v>Meridian Dielectrics Ltd.</v>
      </c>
      <c r="C15" s="7" t="n">
        <f aca="false">INDEX(Scorecard!$C$6:$C$30,MATCH(3,Scorecard!$AP$6:$AP$30,0))</f>
        <v>2</v>
      </c>
      <c r="D15" s="7" t="str">
        <f aca="false">INDEX(Scorecard!$F$6:$F$30,MATCH(3,Scorecard!$AP$6:$AP$30,0))</f>
        <v>Z03</v>
      </c>
      <c r="E15" s="8" t="n">
        <f aca="false">INDEX(Scorecard!$AO$6:$AO$30,MATCH(3,Scorecard!$AP$6:$AP$30,0))</f>
        <v>45.0684444444444</v>
      </c>
      <c r="F15" s="7" t="str">
        <f aca="false">INDEX(Scorecard!$AQ$6:$AQ$30,MATCH(3,Scorecard!$AP$6:$AP$30,0))</f>
        <v>Critical</v>
      </c>
      <c r="G15" s="7" t="str">
        <f aca="false">INDEX(Scorecard!$AX$6:$AX$30,MATCH(3,Scorecard!$AP$6:$AP$30,0))</f>
        <v>Medium</v>
      </c>
      <c r="H15" s="9" t="str">
        <f aca="false">INDEX(Scorecard!$AY$6:$AY$30,MATCH(3,Scorecard!$AP$6:$AP$30,0))</f>
        <v>ACT – mitigate now</v>
      </c>
      <c r="I15" s="10" t="n">
        <f aca="false">INDEX(Scorecard!$AK$6:$AK$30,MATCH(3,Scorecard!$AP$6:$AP$30,0))</f>
        <v>264</v>
      </c>
    </row>
    <row r="16" customFormat="false" ht="15" hidden="false" customHeight="false" outlineLevel="0" collapsed="false">
      <c r="A16" s="6" t="n">
        <v>4</v>
      </c>
      <c r="B16" s="7" t="str">
        <f aca="false">INDEX(Scorecard!$B$6:$B$30,MATCH(4,Scorecard!$AP$6:$AP$30,0))</f>
        <v>Jade Printed Circuits Ltd.</v>
      </c>
      <c r="C16" s="7" t="n">
        <f aca="false">INDEX(Scorecard!$C$6:$C$30,MATCH(4,Scorecard!$AP$6:$AP$30,0))</f>
        <v>2</v>
      </c>
      <c r="D16" s="7" t="str">
        <f aca="false">INDEX(Scorecard!$F$6:$F$30,MATCH(4,Scorecard!$AP$6:$AP$30,0))</f>
        <v>Z01</v>
      </c>
      <c r="E16" s="8" t="n">
        <f aca="false">INDEX(Scorecard!$AO$6:$AO$30,MATCH(4,Scorecard!$AP$6:$AP$30,0))</f>
        <v>42.0866666666667</v>
      </c>
      <c r="F16" s="7" t="str">
        <f aca="false">INDEX(Scorecard!$AQ$6:$AQ$30,MATCH(4,Scorecard!$AP$6:$AP$30,0))</f>
        <v>High</v>
      </c>
      <c r="G16" s="7" t="str">
        <f aca="false">INDEX(Scorecard!$AX$6:$AX$30,MATCH(4,Scorecard!$AP$6:$AP$30,0))</f>
        <v>High</v>
      </c>
      <c r="H16" s="9" t="str">
        <f aca="false">INDEX(Scorecard!$AY$6:$AY$30,MATCH(4,Scorecard!$AP$6:$AP$30,0))</f>
        <v>ACT – mitigate now</v>
      </c>
      <c r="I16" s="10" t="n">
        <f aca="false">INDEX(Scorecard!$AK$6:$AK$30,MATCH(4,Scorecard!$AP$6:$AP$30,0))</f>
        <v>360</v>
      </c>
    </row>
    <row r="17" customFormat="false" ht="15" hidden="false" customHeight="false" outlineLevel="0" collapsed="false">
      <c r="A17" s="6" t="n">
        <v>5</v>
      </c>
      <c r="B17" s="7" t="str">
        <f aca="false">INDEX(Scorecard!$B$6:$B$30,MATCH(5,Scorecard!$AP$6:$AP$30,0))</f>
        <v>Verdant Process Gases Ltd.</v>
      </c>
      <c r="C17" s="7" t="n">
        <f aca="false">INDEX(Scorecard!$C$6:$C$30,MATCH(5,Scorecard!$AP$6:$AP$30,0))</f>
        <v>3</v>
      </c>
      <c r="D17" s="7" t="str">
        <f aca="false">INDEX(Scorecard!$F$6:$F$30,MATCH(5,Scorecard!$AP$6:$AP$30,0))</f>
        <v>Z01</v>
      </c>
      <c r="E17" s="8" t="n">
        <f aca="false">INDEX(Scorecard!$AO$6:$AO$30,MATCH(5,Scorecard!$AP$6:$AP$30,0))</f>
        <v>36.5703333333333</v>
      </c>
      <c r="F17" s="7" t="str">
        <f aca="false">INDEX(Scorecard!$AQ$6:$AQ$30,MATCH(5,Scorecard!$AP$6:$AP$30,0))</f>
        <v>High</v>
      </c>
      <c r="G17" s="7" t="str">
        <f aca="false">INDEX(Scorecard!$AX$6:$AX$30,MATCH(5,Scorecard!$AP$6:$AP$30,0))</f>
        <v>Low</v>
      </c>
      <c r="H17" s="9" t="str">
        <f aca="false">INDEX(Scorecard!$AY$6:$AY$30,MATCH(5,Scorecard!$AP$6:$AP$30,0))</f>
        <v>VERIFY first – urgent sub-tier fact-find</v>
      </c>
      <c r="I17" s="10" t="n">
        <f aca="false">INDEX(Scorecard!$AK$6:$AK$30,MATCH(5,Scorecard!$AP$6:$AP$30,0))</f>
        <v>240</v>
      </c>
    </row>
    <row r="18" customFormat="false" ht="23.85" hidden="false" customHeight="false" outlineLevel="0" collapsed="false">
      <c r="A18" s="6" t="n">
        <v>6</v>
      </c>
      <c r="B18" s="7" t="str">
        <f aca="false">INDEX(Scorecard!$B$6:$B$30,MATCH(6,Scorecard!$AP$6:$AP$30,0))</f>
        <v>Orion Ceramics Ltd.</v>
      </c>
      <c r="C18" s="7" t="n">
        <f aca="false">INDEX(Scorecard!$C$6:$C$30,MATCH(6,Scorecard!$AP$6:$AP$30,0))</f>
        <v>2</v>
      </c>
      <c r="D18" s="7" t="str">
        <f aca="false">INDEX(Scorecard!$F$6:$F$30,MATCH(6,Scorecard!$AP$6:$AP$30,0))</f>
        <v>Z01</v>
      </c>
      <c r="E18" s="8" t="n">
        <f aca="false">INDEX(Scorecard!$AO$6:$AO$30,MATCH(6,Scorecard!$AP$6:$AP$30,0))</f>
        <v>33.0066666666667</v>
      </c>
      <c r="F18" s="7" t="str">
        <f aca="false">INDEX(Scorecard!$AQ$6:$AQ$30,MATCH(6,Scorecard!$AP$6:$AP$30,0))</f>
        <v>High</v>
      </c>
      <c r="G18" s="7" t="str">
        <f aca="false">INDEX(Scorecard!$AX$6:$AX$30,MATCH(6,Scorecard!$AP$6:$AP$30,0))</f>
        <v>Medium</v>
      </c>
      <c r="H18" s="9" t="str">
        <f aca="false">INDEX(Scorecard!$AY$6:$AY$30,MATCH(6,Scorecard!$AP$6:$AP$30,0))</f>
        <v>CONFIRM sole-source status, then qualify alternate</v>
      </c>
      <c r="I18" s="10" t="n">
        <f aca="false">INDEX(Scorecard!$AK$6:$AK$30,MATCH(6,Scorecard!$AP$6:$AP$30,0))</f>
        <v>600</v>
      </c>
    </row>
    <row r="19" customFormat="false" ht="23.85" hidden="false" customHeight="false" outlineLevel="0" collapsed="false">
      <c r="A19" s="6" t="n">
        <v>7</v>
      </c>
      <c r="B19" s="7" t="str">
        <f aca="false">INDEX(Scorecard!$B$6:$B$30,MATCH(7,Scorecard!$AP$6:$AP$30,0))</f>
        <v>Lumen Magnetics Ltd.</v>
      </c>
      <c r="C19" s="7" t="n">
        <f aca="false">INDEX(Scorecard!$C$6:$C$30,MATCH(7,Scorecard!$AP$6:$AP$30,0))</f>
        <v>2</v>
      </c>
      <c r="D19" s="7" t="str">
        <f aca="false">INDEX(Scorecard!$F$6:$F$30,MATCH(7,Scorecard!$AP$6:$AP$30,0))</f>
        <v>Z04</v>
      </c>
      <c r="E19" s="8" t="n">
        <f aca="false">INDEX(Scorecard!$AO$6:$AO$30,MATCH(7,Scorecard!$AP$6:$AP$30,0))</f>
        <v>31.6360555555556</v>
      </c>
      <c r="F19" s="7" t="str">
        <f aca="false">INDEX(Scorecard!$AQ$6:$AQ$30,MATCH(7,Scorecard!$AP$6:$AP$30,0))</f>
        <v>High</v>
      </c>
      <c r="G19" s="7" t="str">
        <f aca="false">INDEX(Scorecard!$AX$6:$AX$30,MATCH(7,Scorecard!$AP$6:$AP$30,0))</f>
        <v>Medium</v>
      </c>
      <c r="H19" s="9" t="str">
        <f aca="false">INDEX(Scorecard!$AY$6:$AY$30,MATCH(7,Scorecard!$AP$6:$AP$30,0))</f>
        <v>CONFIRM sole-source status, then qualify alternate</v>
      </c>
      <c r="I19" s="10" t="n">
        <f aca="false">INDEX(Scorecard!$AK$6:$AK$30,MATCH(7,Scorecard!$AP$6:$AP$30,0))</f>
        <v>300</v>
      </c>
    </row>
    <row r="20" customFormat="false" ht="15" hidden="false" customHeight="false" outlineLevel="0" collapsed="false">
      <c r="A20" s="6" t="n">
        <v>8</v>
      </c>
      <c r="B20" s="7" t="str">
        <f aca="false">INDEX(Scorecard!$B$6:$B$30,MATCH(8,Scorecard!$AP$6:$AP$30,0))</f>
        <v>Warden Copper Foil Ltd.</v>
      </c>
      <c r="C20" s="7" t="n">
        <f aca="false">INDEX(Scorecard!$C$6:$C$30,MATCH(8,Scorecard!$AP$6:$AP$30,0))</f>
        <v>3</v>
      </c>
      <c r="D20" s="7" t="str">
        <f aca="false">INDEX(Scorecard!$F$6:$F$30,MATCH(8,Scorecard!$AP$6:$AP$30,0))</f>
        <v>Z06</v>
      </c>
      <c r="E20" s="8" t="n">
        <f aca="false">INDEX(Scorecard!$AO$6:$AO$30,MATCH(8,Scorecard!$AP$6:$AP$30,0))</f>
        <v>30.9139166666667</v>
      </c>
      <c r="F20" s="7" t="str">
        <f aca="false">INDEX(Scorecard!$AQ$6:$AQ$30,MATCH(8,Scorecard!$AP$6:$AP$30,0))</f>
        <v>High</v>
      </c>
      <c r="G20" s="7" t="str">
        <f aca="false">INDEX(Scorecard!$AX$6:$AX$30,MATCH(8,Scorecard!$AP$6:$AP$30,0))</f>
        <v>Low</v>
      </c>
      <c r="H20" s="9" t="str">
        <f aca="false">INDEX(Scorecard!$AY$6:$AY$30,MATCH(8,Scorecard!$AP$6:$AP$30,0))</f>
        <v>VERIFY first – urgent sub-tier fact-find</v>
      </c>
      <c r="I20" s="10" t="n">
        <f aca="false">INDEX(Scorecard!$AK$6:$AK$30,MATCH(8,Scorecard!$AP$6:$AP$30,0))</f>
        <v>240</v>
      </c>
    </row>
    <row r="21" customFormat="false" ht="15" hidden="false" customHeight="false" outlineLevel="0" collapsed="false">
      <c r="A21" s="6" t="n">
        <v>9</v>
      </c>
      <c r="B21" s="7" t="str">
        <f aca="false">INDEX(Scorecard!$B$6:$B$30,MATCH(9,Scorecard!$AP$6:$AP$30,0))</f>
        <v>Cobalt Control Electronics Ltd.</v>
      </c>
      <c r="C21" s="7" t="n">
        <f aca="false">INDEX(Scorecard!$C$6:$C$30,MATCH(9,Scorecard!$AP$6:$AP$30,0))</f>
        <v>1</v>
      </c>
      <c r="D21" s="7" t="str">
        <f aca="false">INDEX(Scorecard!$F$6:$F$30,MATCH(9,Scorecard!$AP$6:$AP$30,0))</f>
        <v>Z04</v>
      </c>
      <c r="E21" s="8" t="n">
        <f aca="false">INDEX(Scorecard!$AO$6:$AO$30,MATCH(9,Scorecard!$AP$6:$AP$30,0))</f>
        <v>30.7855555555556</v>
      </c>
      <c r="F21" s="7" t="str">
        <f aca="false">INDEX(Scorecard!$AQ$6:$AQ$30,MATCH(9,Scorecard!$AP$6:$AP$30,0))</f>
        <v>High</v>
      </c>
      <c r="G21" s="7" t="str">
        <f aca="false">INDEX(Scorecard!$AX$6:$AX$30,MATCH(9,Scorecard!$AP$6:$AP$30,0))</f>
        <v>High</v>
      </c>
      <c r="H21" s="9" t="str">
        <f aca="false">INDEX(Scorecard!$AY$6:$AY$30,MATCH(9,Scorecard!$AP$6:$AP$30,0))</f>
        <v>ACT – mitigate now</v>
      </c>
      <c r="I21" s="10" t="n">
        <f aca="false">INDEX(Scorecard!$AK$6:$AK$30,MATCH(9,Scorecard!$AP$6:$AP$30,0))</f>
        <v>360</v>
      </c>
    </row>
    <row r="22" customFormat="false" ht="15" hidden="false" customHeight="false" outlineLevel="0" collapsed="false">
      <c r="A22" s="6" t="n">
        <v>10</v>
      </c>
      <c r="B22" s="7" t="str">
        <f aca="false">INDEX(Scorecard!$B$6:$B$30,MATCH(10,Scorecard!$AP$6:$AP$30,0))</f>
        <v>Xenon Resin Ltd.</v>
      </c>
      <c r="C22" s="7" t="n">
        <f aca="false">INDEX(Scorecard!$C$6:$C$30,MATCH(10,Scorecard!$AP$6:$AP$30,0))</f>
        <v>3</v>
      </c>
      <c r="D22" s="7" t="str">
        <f aca="false">INDEX(Scorecard!$F$6:$F$30,MATCH(10,Scorecard!$AP$6:$AP$30,0))</f>
        <v>Z04</v>
      </c>
      <c r="E22" s="8" t="n">
        <f aca="false">INDEX(Scorecard!$AO$6:$AO$30,MATCH(10,Scorecard!$AP$6:$AP$30,0))</f>
        <v>30.4603055555556</v>
      </c>
      <c r="F22" s="7" t="str">
        <f aca="false">INDEX(Scorecard!$AQ$6:$AQ$30,MATCH(10,Scorecard!$AP$6:$AP$30,0))</f>
        <v>High</v>
      </c>
      <c r="G22" s="7" t="str">
        <f aca="false">INDEX(Scorecard!$AX$6:$AX$30,MATCH(10,Scorecard!$AP$6:$AP$30,0))</f>
        <v>Low</v>
      </c>
      <c r="H22" s="9" t="str">
        <f aca="false">INDEX(Scorecard!$AY$6:$AY$30,MATCH(10,Scorecard!$AP$6:$AP$30,0))</f>
        <v>VERIFY first – urgent sub-tier fact-find</v>
      </c>
      <c r="I22" s="10" t="n">
        <f aca="false">INDEX(Scorecard!$AK$6:$AK$30,MATCH(10,Scorecard!$AP$6:$AP$30,0))</f>
        <v>240</v>
      </c>
    </row>
    <row r="24" customFormat="false" ht="15" hidden="false" customHeight="true" outlineLevel="0" collapsed="false">
      <c r="A24" s="3" t="s">
        <v>14</v>
      </c>
      <c r="B24" s="3"/>
      <c r="C24" s="3"/>
      <c r="D24" s="3"/>
      <c r="E24" s="3"/>
      <c r="F24" s="3"/>
      <c r="G24" s="3"/>
      <c r="H24" s="3"/>
      <c r="I24" s="3"/>
    </row>
    <row r="25" customFormat="false" ht="30" hidden="false" customHeight="true" outlineLevel="0" collapsed="false">
      <c r="A25" s="4" t="str">
        <f aca="false">"Network links: "&amp;COUNTIF(Network!S5:S36,"A")&amp;" grade A (≥2 independent source families), "&amp;COUNTIF(Network!S5:S36,"B")&amp;" grade B (one primary disclosure), "&amp;COUNTIF(Network!S5:S36,"C")&amp;" grade C (inferred), plus "&amp;COUNTIF(Network!R37:R45,"Hypothesis")&amp;" hypotheses and "&amp;COUNTIF(Network!R37:R45,"Rejected")&amp;" rejected traps. Every Tier-1 link is grade A."</f>
        <v>Network links: 15 grade A (≥2 independent source families), 16 grade B (one primary disclosure), 1 grade C (inferred), plus 2 hypotheses and 3 rejected traps. Every Tier-1 link is grade A.</v>
      </c>
      <c r="B25" s="4"/>
      <c r="C25" s="4"/>
      <c r="D25" s="4"/>
      <c r="E25" s="4"/>
      <c r="F25" s="4"/>
      <c r="G25" s="4"/>
      <c r="H25" s="4"/>
      <c r="I25" s="4"/>
    </row>
    <row r="26" customFormat="false" ht="30" hidden="false" customHeight="true" outlineLevel="0" collapsed="false">
      <c r="A26" s="4" t="str">
        <f aca="false">"Scored nodes: "&amp;COUNTIF(Scorecard!AX6:AX30,"High")&amp;" High, "&amp;COUNTIF(Scorecard!AX6:AX30,"Medium")&amp;" Medium, "&amp;COUNTIF(Scorecard!AX6:AX30,"Low")&amp;" Low confidence. Confidence is kept separate from risk: it decides whether we ACT or VERIFY."</f>
        <v>Scored nodes: 11 High, 8 Medium, 6 Low confidence. Confidence is kept separate from risk: it decides whether we ACT or VERIFY.</v>
      </c>
      <c r="B26" s="4"/>
      <c r="C26" s="4"/>
      <c r="D26" s="4"/>
      <c r="E26" s="4"/>
      <c r="F26" s="4"/>
      <c r="G26" s="4"/>
      <c r="H26" s="4"/>
      <c r="I26" s="4"/>
    </row>
    <row r="27" customFormat="false" ht="30" hidden="false" customHeight="true" outlineLevel="0" collapsed="false">
      <c r="A27" s="4" t="str">
        <f aca="false">"Robustness: IonPeak, Jade, Umber and Verdant stay top-5 under all 5 weighting scenarios; Meridian under "&amp;Sensitivity!U28&amp;" of 5 (Sensitivity tab). Our headline conclusions do not hinge on the weights."</f>
        <v>Robustness: IonPeak, Jade, Umber and Verdant stay top-5 under all 5 weighting scenarios; Meridian under 4 of 5 (Sensitivity tab). Our headline conclusions do not hinge on the weights.</v>
      </c>
      <c r="B27" s="4"/>
      <c r="C27" s="4"/>
      <c r="D27" s="4"/>
      <c r="E27" s="4"/>
      <c r="F27" s="4"/>
      <c r="G27" s="4"/>
      <c r="H27" s="4"/>
      <c r="I27" s="4"/>
    </row>
    <row r="28" customFormat="false" ht="30" hidden="false" customHeight="true" outlineLevel="0" collapsed="false">
      <c r="A28" s="4" t="s">
        <v>15</v>
      </c>
      <c r="B28" s="4"/>
      <c r="C28" s="4"/>
      <c r="D28" s="4"/>
      <c r="E28" s="4"/>
      <c r="F28" s="4"/>
      <c r="G28" s="4"/>
      <c r="H28" s="4"/>
      <c r="I28" s="4"/>
    </row>
    <row r="30" customFormat="false" ht="15" hidden="false" customHeight="true" outlineLevel="0" collapsed="false">
      <c r="A30" s="3" t="s">
        <v>16</v>
      </c>
      <c r="B30" s="3"/>
      <c r="C30" s="3"/>
      <c r="D30" s="3"/>
      <c r="E30" s="3"/>
      <c r="F30" s="3"/>
      <c r="G30" s="3"/>
      <c r="H30" s="3"/>
      <c r="I30" s="3"/>
    </row>
    <row r="31" customFormat="false" ht="30" hidden="false" customHeight="true" outlineLevel="0" collapsed="false">
      <c r="A31" s="4" t="s">
        <v>17</v>
      </c>
      <c r="B31" s="4"/>
      <c r="C31" s="4"/>
      <c r="D31" s="4"/>
      <c r="E31" s="4"/>
      <c r="F31" s="4"/>
      <c r="G31" s="4"/>
      <c r="H31" s="4"/>
      <c r="I31" s="4"/>
    </row>
    <row r="32" customFormat="false" ht="43.5" hidden="false" customHeight="true" outlineLevel="0" collapsed="false">
      <c r="A32" s="4" t="s">
        <v>18</v>
      </c>
      <c r="B32" s="4"/>
      <c r="C32" s="4"/>
      <c r="D32" s="4"/>
      <c r="E32" s="4"/>
      <c r="F32" s="4"/>
      <c r="G32" s="4"/>
      <c r="H32" s="4"/>
      <c r="I32" s="4"/>
    </row>
    <row r="33" customFormat="false" ht="30" hidden="false" customHeight="true" outlineLevel="0" collapsed="false">
      <c r="A33" s="4" t="s">
        <v>19</v>
      </c>
      <c r="B33" s="4"/>
      <c r="C33" s="4"/>
      <c r="D33" s="4"/>
      <c r="E33" s="4"/>
      <c r="F33" s="4"/>
      <c r="G33" s="4"/>
      <c r="H33" s="4"/>
      <c r="I33" s="4"/>
    </row>
    <row r="34" customFormat="false" ht="30" hidden="false" customHeight="true" outlineLevel="0" collapsed="false">
      <c r="A34" s="4" t="s">
        <v>20</v>
      </c>
      <c r="B34" s="4"/>
      <c r="C34" s="4"/>
      <c r="D34" s="4"/>
      <c r="E34" s="4"/>
      <c r="F34" s="4"/>
      <c r="G34" s="4"/>
      <c r="H34" s="4"/>
      <c r="I34" s="4"/>
    </row>
    <row r="36" customFormat="false" ht="15" hidden="false" customHeight="true" outlineLevel="0" collapsed="false">
      <c r="A36" s="3" t="s">
        <v>21</v>
      </c>
      <c r="B36" s="3"/>
      <c r="C36" s="3"/>
      <c r="D36" s="3"/>
      <c r="E36" s="3"/>
      <c r="F36" s="3"/>
      <c r="G36" s="3"/>
      <c r="H36" s="3"/>
      <c r="I36" s="3"/>
    </row>
    <row r="37" customFormat="false" ht="15" hidden="false" customHeight="true" outlineLevel="0" collapsed="false">
      <c r="A37" s="4" t="s">
        <v>22</v>
      </c>
      <c r="B37" s="4"/>
      <c r="C37" s="4"/>
      <c r="D37" s="4"/>
      <c r="E37" s="4"/>
      <c r="F37" s="4"/>
      <c r="G37" s="4"/>
      <c r="H37" s="4"/>
      <c r="I37" s="4"/>
    </row>
    <row r="38" customFormat="false" ht="15" hidden="false" customHeight="true" outlineLevel="0" collapsed="false">
      <c r="A38" s="4" t="s">
        <v>23</v>
      </c>
      <c r="B38" s="4"/>
      <c r="C38" s="4"/>
      <c r="D38" s="4"/>
      <c r="E38" s="4"/>
      <c r="F38" s="4"/>
      <c r="G38" s="4"/>
      <c r="H38" s="4"/>
      <c r="I38" s="4"/>
    </row>
    <row r="39" customFormat="false" ht="15" hidden="false" customHeight="true" outlineLevel="0" collapsed="false">
      <c r="A39" s="4" t="s">
        <v>24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A40" s="4" t="s">
        <v>25</v>
      </c>
      <c r="B40" s="4"/>
      <c r="C40" s="4"/>
      <c r="D40" s="4"/>
      <c r="E40" s="4"/>
      <c r="F40" s="4"/>
      <c r="G40" s="4"/>
      <c r="H40" s="4"/>
      <c r="I40" s="4"/>
    </row>
    <row r="41" customFormat="false" ht="15" hidden="false" customHeight="true" outlineLevel="0" collapsed="false">
      <c r="A41" s="4" t="s">
        <v>26</v>
      </c>
      <c r="B41" s="4"/>
      <c r="C41" s="4"/>
      <c r="D41" s="4"/>
      <c r="E41" s="4"/>
      <c r="F41" s="4"/>
      <c r="G41" s="4"/>
      <c r="H41" s="4"/>
      <c r="I41" s="4"/>
    </row>
    <row r="43" customFormat="false" ht="15" hidden="false" customHeight="true" outlineLevel="0" collapsed="false">
      <c r="A43" s="3" t="s">
        <v>27</v>
      </c>
      <c r="B43" s="3"/>
      <c r="C43" s="3"/>
      <c r="D43" s="3"/>
      <c r="E43" s="3"/>
      <c r="F43" s="3"/>
      <c r="G43" s="3"/>
      <c r="H43" s="3"/>
      <c r="I43" s="3"/>
    </row>
    <row r="44" customFormat="false" ht="15" hidden="false" customHeight="true" outlineLevel="0" collapsed="false">
      <c r="A44" s="4" t="s">
        <v>28</v>
      </c>
      <c r="B44" s="4"/>
      <c r="C44" s="4"/>
      <c r="D44" s="4"/>
      <c r="E44" s="4"/>
      <c r="F44" s="4"/>
      <c r="G44" s="4"/>
      <c r="H44" s="4"/>
      <c r="I44" s="4"/>
    </row>
    <row r="45" customFormat="false" ht="15" hidden="false" customHeight="true" outlineLevel="0" collapsed="false">
      <c r="A45" s="4" t="s">
        <v>29</v>
      </c>
      <c r="B45" s="4"/>
      <c r="C45" s="4"/>
      <c r="D45" s="4"/>
      <c r="E45" s="4"/>
      <c r="F45" s="4"/>
      <c r="G45" s="4"/>
      <c r="H45" s="4"/>
      <c r="I45" s="4"/>
    </row>
    <row r="46" customFormat="false" ht="15" hidden="false" customHeight="true" outlineLevel="0" collapsed="false">
      <c r="A46" s="4" t="s">
        <v>30</v>
      </c>
      <c r="B46" s="4"/>
      <c r="C46" s="4"/>
      <c r="D46" s="4"/>
      <c r="E46" s="4"/>
      <c r="F46" s="4"/>
      <c r="G46" s="4"/>
      <c r="H46" s="4"/>
      <c r="I46" s="4"/>
    </row>
    <row r="47" customFormat="false" ht="15" hidden="false" customHeight="true" outlineLevel="0" collapsed="false">
      <c r="A47" s="4" t="s">
        <v>31</v>
      </c>
      <c r="B47" s="4"/>
      <c r="C47" s="4"/>
      <c r="D47" s="4"/>
      <c r="E47" s="4"/>
      <c r="F47" s="4"/>
      <c r="G47" s="4"/>
      <c r="H47" s="4"/>
      <c r="I47" s="4"/>
    </row>
    <row r="48" customFormat="false" ht="23.85" hidden="false" customHeight="true" outlineLevel="0" collapsed="false">
      <c r="A48" s="4" t="s">
        <v>32</v>
      </c>
      <c r="B48" s="4"/>
      <c r="C48" s="4"/>
      <c r="D48" s="4"/>
      <c r="E48" s="4"/>
      <c r="F48" s="4"/>
      <c r="G48" s="4"/>
      <c r="H48" s="4"/>
      <c r="I48" s="4"/>
    </row>
    <row r="50" customFormat="false" ht="30" hidden="false" customHeight="true" outlineLevel="0" collapsed="false">
      <c r="A50" s="11" t="s">
        <v>33</v>
      </c>
      <c r="B50" s="11"/>
      <c r="C50" s="11"/>
      <c r="D50" s="11"/>
      <c r="E50" s="11"/>
      <c r="F50" s="11"/>
      <c r="G50" s="11"/>
      <c r="H50" s="11"/>
      <c r="I50" s="11"/>
    </row>
    <row r="51" customFormat="false" ht="43.5" hidden="false" customHeight="true" outlineLevel="0" collapsed="false">
      <c r="A51" s="11" t="s">
        <v>34</v>
      </c>
      <c r="B51" s="11"/>
      <c r="C51" s="11"/>
      <c r="D51" s="11"/>
      <c r="E51" s="11"/>
      <c r="F51" s="11"/>
      <c r="G51" s="11"/>
      <c r="H51" s="11"/>
      <c r="I51" s="11"/>
    </row>
  </sheetData>
  <mergeCells count="32">
    <mergeCell ref="A2:I2"/>
    <mergeCell ref="A4:I4"/>
    <mergeCell ref="A5:I5"/>
    <mergeCell ref="A6:I6"/>
    <mergeCell ref="A7:I7"/>
    <mergeCell ref="A8:I8"/>
    <mergeCell ref="A9:I9"/>
    <mergeCell ref="A11:I11"/>
    <mergeCell ref="A24:I24"/>
    <mergeCell ref="A25:I25"/>
    <mergeCell ref="A26:I26"/>
    <mergeCell ref="A27:I27"/>
    <mergeCell ref="A28:I28"/>
    <mergeCell ref="A30:I30"/>
    <mergeCell ref="A31:I31"/>
    <mergeCell ref="A32:I32"/>
    <mergeCell ref="A33:I33"/>
    <mergeCell ref="A34:I34"/>
    <mergeCell ref="A36:I36"/>
    <mergeCell ref="A37:I37"/>
    <mergeCell ref="A38:I38"/>
    <mergeCell ref="A39:I39"/>
    <mergeCell ref="A40:I40"/>
    <mergeCell ref="A41:I41"/>
    <mergeCell ref="A43:I43"/>
    <mergeCell ref="A44:I44"/>
    <mergeCell ref="A45:I45"/>
    <mergeCell ref="A46:I46"/>
    <mergeCell ref="A47:I47"/>
    <mergeCell ref="A48:I48"/>
    <mergeCell ref="A50:I50"/>
    <mergeCell ref="A51:I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5"/>
    <col collapsed="false" customWidth="true" hidden="false" outlineLevel="0" max="4" min="4" style="0" width="30"/>
    <col collapsed="false" customWidth="true" hidden="false" outlineLevel="0" max="5" min="5" style="0" width="9"/>
    <col collapsed="false" customWidth="true" hidden="false" outlineLevel="0" max="6" min="6" style="0" width="6"/>
    <col collapsed="false" customWidth="true" hidden="false" outlineLevel="0" max="7" min="7" style="0" width="24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30"/>
    <col collapsed="false" customWidth="true" hidden="false" outlineLevel="0" max="18" min="11" style="0" width="9"/>
    <col collapsed="false" customWidth="true" hidden="false" outlineLevel="0" max="33" min="19" style="0" width="8"/>
    <col collapsed="false" customWidth="true" hidden="false" outlineLevel="0" max="34" min="34" style="0" width="10"/>
    <col collapsed="false" customWidth="true" hidden="false" outlineLevel="0" max="35" min="35" style="0" width="8"/>
    <col collapsed="false" customWidth="true" hidden="false" outlineLevel="0" max="36" min="36" style="0" width="9"/>
    <col collapsed="false" customWidth="true" hidden="false" outlineLevel="0" max="37" min="37" style="0" width="10"/>
    <col collapsed="false" customWidth="true" hidden="false" outlineLevel="0" max="39" min="38" style="0" width="8"/>
    <col collapsed="false" customWidth="true" hidden="false" outlineLevel="0" max="41" min="40" style="0" width="9"/>
    <col collapsed="false" customWidth="true" hidden="false" outlineLevel="0" max="42" min="42" style="0" width="6"/>
    <col collapsed="false" customWidth="true" hidden="false" outlineLevel="0" max="43" min="43" style="0" width="9"/>
    <col collapsed="false" customWidth="true" hidden="false" outlineLevel="0" max="44" min="44" style="0" width="14"/>
    <col collapsed="false" customWidth="true" hidden="false" outlineLevel="0" max="45" min="45" style="0" width="7"/>
    <col collapsed="false" customWidth="true" hidden="false" outlineLevel="0" max="46" min="46" style="0" width="8"/>
    <col collapsed="false" customWidth="true" hidden="false" outlineLevel="0" max="47" min="47" style="0" width="6"/>
    <col collapsed="false" customWidth="true" hidden="false" outlineLevel="0" max="49" min="48" style="0" width="7"/>
    <col collapsed="false" customWidth="true" hidden="false" outlineLevel="0" max="50" min="50" style="0" width="10"/>
    <col collapsed="false" customWidth="true" hidden="false" outlineLevel="0" max="51" min="51" style="0" width="30"/>
    <col collapsed="false" customWidth="true" hidden="false" outlineLevel="0" max="52" min="52" style="0" width="22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12" t="s">
        <v>36</v>
      </c>
    </row>
    <row r="4" customFormat="false" ht="15" hidden="false" customHeight="false" outlineLevel="0" collapsed="false">
      <c r="A4" s="13" t="s">
        <v>37</v>
      </c>
      <c r="B4" s="13"/>
      <c r="C4" s="13"/>
      <c r="D4" s="13"/>
      <c r="E4" s="13"/>
      <c r="F4" s="13"/>
      <c r="G4" s="13"/>
      <c r="H4" s="13"/>
      <c r="I4" s="13"/>
      <c r="J4" s="13"/>
      <c r="K4" s="13" t="s">
        <v>38</v>
      </c>
      <c r="L4" s="13"/>
      <c r="M4" s="13"/>
      <c r="N4" s="13"/>
      <c r="O4" s="13"/>
      <c r="P4" s="13"/>
      <c r="Q4" s="13"/>
      <c r="R4" s="13"/>
      <c r="S4" s="13" t="s">
        <v>39</v>
      </c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 t="s">
        <v>40</v>
      </c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 t="s">
        <v>41</v>
      </c>
      <c r="AT4" s="13"/>
      <c r="AU4" s="13"/>
      <c r="AV4" s="13"/>
      <c r="AW4" s="13"/>
      <c r="AX4" s="13"/>
      <c r="AY4" s="13"/>
      <c r="AZ4" s="13"/>
    </row>
    <row r="5" customFormat="false" ht="46.25" hidden="false" customHeight="false" outlineLevel="0" collapsed="false">
      <c r="A5" s="5" t="s">
        <v>42</v>
      </c>
      <c r="B5" s="5" t="s">
        <v>6</v>
      </c>
      <c r="C5" s="5" t="s">
        <v>7</v>
      </c>
      <c r="D5" s="5" t="s">
        <v>43</v>
      </c>
      <c r="E5" s="5" t="s">
        <v>44</v>
      </c>
      <c r="F5" s="5" t="s">
        <v>8</v>
      </c>
      <c r="G5" s="5" t="s">
        <v>45</v>
      </c>
      <c r="H5" s="5" t="s">
        <v>46</v>
      </c>
      <c r="I5" s="5" t="s">
        <v>47</v>
      </c>
      <c r="J5" s="5" t="s">
        <v>48</v>
      </c>
      <c r="K5" s="5" t="s">
        <v>49</v>
      </c>
      <c r="L5" s="5" t="s">
        <v>50</v>
      </c>
      <c r="M5" s="5" t="s">
        <v>51</v>
      </c>
      <c r="N5" s="5" t="s">
        <v>52</v>
      </c>
      <c r="O5" s="5" t="s">
        <v>53</v>
      </c>
      <c r="P5" s="5" t="s">
        <v>54</v>
      </c>
      <c r="Q5" s="5" t="s">
        <v>55</v>
      </c>
      <c r="R5" s="5" t="s">
        <v>56</v>
      </c>
      <c r="S5" s="5" t="s">
        <v>57</v>
      </c>
      <c r="T5" s="5" t="s">
        <v>58</v>
      </c>
      <c r="U5" s="5" t="s">
        <v>59</v>
      </c>
      <c r="V5" s="5" t="s">
        <v>60</v>
      </c>
      <c r="W5" s="5" t="s">
        <v>61</v>
      </c>
      <c r="X5" s="5" t="s">
        <v>62</v>
      </c>
      <c r="Y5" s="5" t="s">
        <v>63</v>
      </c>
      <c r="Z5" s="5" t="s">
        <v>64</v>
      </c>
      <c r="AA5" s="5" t="s">
        <v>65</v>
      </c>
      <c r="AB5" s="5" t="s">
        <v>66</v>
      </c>
      <c r="AC5" s="5" t="s">
        <v>67</v>
      </c>
      <c r="AD5" s="5" t="s">
        <v>68</v>
      </c>
      <c r="AE5" s="5" t="s">
        <v>69</v>
      </c>
      <c r="AF5" s="5" t="s">
        <v>70</v>
      </c>
      <c r="AG5" s="5" t="s">
        <v>71</v>
      </c>
      <c r="AH5" s="5" t="s">
        <v>72</v>
      </c>
      <c r="AI5" s="5" t="s">
        <v>73</v>
      </c>
      <c r="AJ5" s="5" t="s">
        <v>74</v>
      </c>
      <c r="AK5" s="5" t="s">
        <v>75</v>
      </c>
      <c r="AL5" s="5" t="s">
        <v>76</v>
      </c>
      <c r="AM5" s="5" t="s">
        <v>77</v>
      </c>
      <c r="AN5" s="5" t="s">
        <v>78</v>
      </c>
      <c r="AO5" s="5" t="s">
        <v>79</v>
      </c>
      <c r="AP5" s="5" t="s">
        <v>5</v>
      </c>
      <c r="AQ5" s="5" t="s">
        <v>10</v>
      </c>
      <c r="AR5" s="5" t="s">
        <v>80</v>
      </c>
      <c r="AS5" s="5" t="s">
        <v>81</v>
      </c>
      <c r="AT5" s="5" t="s">
        <v>82</v>
      </c>
      <c r="AU5" s="5" t="s">
        <v>83</v>
      </c>
      <c r="AV5" s="5" t="s">
        <v>84</v>
      </c>
      <c r="AW5" s="5" t="s">
        <v>85</v>
      </c>
      <c r="AX5" s="5" t="s">
        <v>86</v>
      </c>
      <c r="AY5" s="5" t="s">
        <v>12</v>
      </c>
      <c r="AZ5" s="5" t="s">
        <v>87</v>
      </c>
    </row>
    <row r="6" customFormat="false" ht="23.85" hidden="false" customHeight="false" outlineLevel="0" collapsed="false">
      <c r="A6" s="6" t="s">
        <v>88</v>
      </c>
      <c r="B6" s="7" t="str">
        <f aca="false">INDEX(Data!$B$5:$B$34,MATCH($A6,Data!$A$5:$A$34,0))</f>
        <v>Aster Power Assemblies Ltd.</v>
      </c>
      <c r="C6" s="6" t="n">
        <v>1</v>
      </c>
      <c r="D6" s="14" t="s">
        <v>89</v>
      </c>
      <c r="E6" s="7" t="str">
        <f aca="false">INDEX(Data!$G$38:$G$67,MATCH($A6,Data!$A$38:$A$67,0))</f>
        <v>SITE-018</v>
      </c>
      <c r="F6" s="7" t="str">
        <f aca="false">INDEX(Data!$I$38:$I$67,MATCH($A6,Data!$A$38:$A$67,0))</f>
        <v>Z02</v>
      </c>
      <c r="G6" s="15" t="s">
        <v>90</v>
      </c>
      <c r="H6" s="16" t="n">
        <v>1</v>
      </c>
      <c r="I6" s="17" t="n">
        <v>16</v>
      </c>
      <c r="J6" s="14" t="s">
        <v>91</v>
      </c>
      <c r="K6" s="18" t="n">
        <f aca="false">IF(INDEX(Data!$C$5:$C$34,MATCH($A6,Data!$A$5:$A$34,0))="","",INDEX(Data!$C$5:$C$34,MATCH($A6,Data!$A$5:$A$34,0)))</f>
        <v>2.13</v>
      </c>
      <c r="L6" s="18" t="n">
        <f aca="false">IF(INDEX(Data!$D$5:$D$34,MATCH($A6,Data!$A$5:$A$34,0))="","",INDEX(Data!$D$5:$D$34,MATCH($A6,Data!$A$5:$A$34,0)))</f>
        <v>2</v>
      </c>
      <c r="M6" s="8" t="n">
        <f aca="false">IF(INDEX(Data!$E$5:$E$34,MATCH($A6,Data!$A$5:$A$34,0))="","",INDEX(Data!$E$5:$E$34,MATCH($A6,Data!$A$5:$A$34,0)))</f>
        <v>80.9</v>
      </c>
      <c r="N6" s="8" t="n">
        <f aca="false">IF(INDEX(Data!$F$5:$F$34,MATCH($A6,Data!$A$5:$A$34,0))="","",INDEX(Data!$F$5:$F$34,MATCH($A6,Data!$A$5:$A$34,0)))</f>
        <v>2.3</v>
      </c>
      <c r="O6" s="8" t="n">
        <f aca="false">IF(INDEX(Data!$G$5:$G$34,MATCH($A6,Data!$A$5:$A$34,0))="","",INDEX(Data!$G$5:$G$34,MATCH($A6,Data!$A$5:$A$34,0)))</f>
        <v>24</v>
      </c>
      <c r="P6" s="8" t="n">
        <f aca="false">IF(INDEX(Data!$H$5:$H$34,MATCH($A6,Data!$A$5:$A$34,0))="","",INDEX(Data!$H$5:$H$34,MATCH($A6,Data!$A$5:$A$34,0)))</f>
        <v>27</v>
      </c>
      <c r="Q6" s="8" t="n">
        <f aca="false">IF(INDEX(Data!$I$5:$I$34,MATCH($A6,Data!$A$5:$A$34,0))="","",INDEX(Data!$I$5:$I$34,MATCH($A6,Data!$A$5:$A$34,0)))</f>
        <v>30</v>
      </c>
      <c r="R6" s="8" t="n">
        <f aca="false">IF(INDEX(Data!$J$5:$J$34,MATCH($A6,Data!$A$5:$A$34,0))="","",INDEX(Data!$J$5:$J$34,MATCH($A6,Data!$A$5:$A$34,0)))</f>
        <v>24</v>
      </c>
      <c r="S6" s="19" t="n">
        <f aca="false">IF(L6="","",IF(L6&lt;=Assumptions!$B$31,Assumptions!$H$31,IF(L6&lt;=Assumptions!$C$31,Assumptions!$H$31+(L6-Assumptions!$B$31)/(Assumptions!$C$31-Assumptions!$B$31)*(Assumptions!$I$31-Assumptions!$H$31),IF(L6&lt;=Assumptions!$D$31,Assumptions!$I$31+(L6-Assumptions!$C$31)/(Assumptions!$D$31-Assumptions!$C$31)*(Assumptions!$J$31-Assumptions!$I$31),IF(L6&lt;=Assumptions!$E$31,Assumptions!$J$31+(L6-Assumptions!$D$31)/(Assumptions!$E$31-Assumptions!$D$31)*(Assumptions!$K$31-Assumptions!$J$31),IF(L6&lt;=Assumptions!$F$31,Assumptions!$K$31+(L6-Assumptions!$E$31)/(Assumptions!$F$31-Assumptions!$E$31)*(Assumptions!$L$31-Assumptions!$K$31),IF(L6&lt;=Assumptions!$G$31,Assumptions!$L$31+(L6-Assumptions!$F$31)/(Assumptions!$G$31-Assumptions!$F$31)*(Assumptions!$M$31-Assumptions!$L$31),Assumptions!$M$31)))))))</f>
        <v>24</v>
      </c>
      <c r="T6" s="19" t="n">
        <f aca="false">IF(K6="","",IF(K6&lt;=Assumptions!$B$32,Assumptions!$H$32,IF(K6&lt;=Assumptions!$C$32,Assumptions!$H$32+(K6-Assumptions!$B$32)/(Assumptions!$C$32-Assumptions!$B$32)*(Assumptions!$I$32-Assumptions!$H$32),IF(K6&lt;=Assumptions!$D$32,Assumptions!$I$32+(K6-Assumptions!$C$32)/(Assumptions!$D$32-Assumptions!$C$32)*(Assumptions!$J$32-Assumptions!$I$32),IF(K6&lt;=Assumptions!$E$32,Assumptions!$J$32+(K6-Assumptions!$D$32)/(Assumptions!$E$32-Assumptions!$D$32)*(Assumptions!$K$32-Assumptions!$J$32),IF(K6&lt;=Assumptions!$F$32,Assumptions!$K$32+(K6-Assumptions!$E$32)/(Assumptions!$F$32-Assumptions!$E$32)*(Assumptions!$L$32-Assumptions!$K$32),IF(K6&lt;=Assumptions!$G$32,Assumptions!$L$32+(K6-Assumptions!$F$32)/(Assumptions!$G$32-Assumptions!$F$32)*(Assumptions!$M$32-Assumptions!$L$32),Assumptions!$M$32)))))))</f>
        <v>11.1</v>
      </c>
      <c r="U6" s="19" t="n">
        <f aca="false">IF(M6&lt;=Assumptions!$B$33,Assumptions!$H$33,IF(M6&lt;=Assumptions!$C$33,Assumptions!$H$33+(M6-Assumptions!$B$33)/(Assumptions!$C$33-Assumptions!$B$33)*(Assumptions!$I$33-Assumptions!$H$33),IF(M6&lt;=Assumptions!$D$33,Assumptions!$I$33+(M6-Assumptions!$C$33)/(Assumptions!$D$33-Assumptions!$C$33)*(Assumptions!$J$33-Assumptions!$I$33),IF(M6&lt;=Assumptions!$E$33,Assumptions!$J$33+(M6-Assumptions!$D$33)/(Assumptions!$E$33-Assumptions!$D$33)*(Assumptions!$K$33-Assumptions!$J$33),IF(M6&lt;=Assumptions!$F$33,Assumptions!$K$33+(M6-Assumptions!$E$33)/(Assumptions!$F$33-Assumptions!$E$33)*(Assumptions!$L$33-Assumptions!$K$33),IF(M6&lt;=Assumptions!$G$33,Assumptions!$L$33+(M6-Assumptions!$F$33)/(Assumptions!$G$33-Assumptions!$F$33)*(Assumptions!$M$33-Assumptions!$L$33),Assumptions!$M$33))))))</f>
        <v>70.5</v>
      </c>
      <c r="V6" s="19" t="n">
        <f aca="false">IF(N6&lt;=Assumptions!$B$34,Assumptions!$H$34,IF(N6&lt;=Assumptions!$C$34,Assumptions!$H$34+(N6-Assumptions!$B$34)/(Assumptions!$C$34-Assumptions!$B$34)*(Assumptions!$I$34-Assumptions!$H$34),IF(N6&lt;=Assumptions!$D$34,Assumptions!$I$34+(N6-Assumptions!$C$34)/(Assumptions!$D$34-Assumptions!$C$34)*(Assumptions!$J$34-Assumptions!$I$34),IF(N6&lt;=Assumptions!$E$34,Assumptions!$J$34+(N6-Assumptions!$D$34)/(Assumptions!$E$34-Assumptions!$D$34)*(Assumptions!$K$34-Assumptions!$J$34),IF(N6&lt;=Assumptions!$F$34,Assumptions!$K$34+(N6-Assumptions!$E$34)/(Assumptions!$F$34-Assumptions!$E$34)*(Assumptions!$L$34-Assumptions!$K$34),IF(N6&lt;=Assumptions!$G$34,Assumptions!$L$34+(N6-Assumptions!$F$34)/(Assumptions!$G$34-Assumptions!$F$34)*(Assumptions!$M$34-Assumptions!$L$34),Assumptions!$M$34))))))</f>
        <v>0</v>
      </c>
      <c r="W6" s="19" t="n">
        <f aca="false">IF(S6="",PERCENTILE($S$6:$S$30,Assumptions!$B$36),S6)</f>
        <v>24</v>
      </c>
      <c r="X6" s="19" t="n">
        <f aca="false">IF(T6="",PERCENTILE($T$6:$T$30,Assumptions!$B$36),T6)</f>
        <v>11.1</v>
      </c>
      <c r="Y6" s="19" t="n">
        <f aca="false">IF(O6="",PERCENTILE($O$6:$O$30,Assumptions!$B$36),O6)</f>
        <v>24</v>
      </c>
      <c r="Z6" s="19" t="n">
        <f aca="false">W6*Assumptions!$B$16+X6*Assumptions!$B$17</f>
        <v>17.55</v>
      </c>
      <c r="AA6" s="19" t="n">
        <f aca="false">U6*Assumptions!$B$18+V6*Assumptions!$B$19</f>
        <v>35.25</v>
      </c>
      <c r="AB6" s="19" t="n">
        <f aca="false">AVERAGE(P6:R6)</f>
        <v>27</v>
      </c>
      <c r="AC6" s="16" t="n">
        <v>0</v>
      </c>
      <c r="AD6" s="20" t="n">
        <f aca="false">MIN(100,Z6*Assumptions!$B$11+AA6*Assumptions!$B$12+Y6*Assumptions!$B$13+AB6*Assumptions!$B$14+AC6*Assumptions!$B$20)</f>
        <v>26.19</v>
      </c>
      <c r="AE6" s="21" t="n">
        <f aca="false">MIN(1,SUMIFS(Network!$V$5:$V$14,Network!$D$5:$D$14,$A6,Network!$U$5:$U$14,1))</f>
        <v>0.6</v>
      </c>
      <c r="AF6" s="21" t="n">
        <f aca="false">MIN(1,SUMIFS(Network!$W$5:$W$14,Network!$D$5:$D$14,$A6,Network!$U$5:$U$14,1))</f>
        <v>0.7</v>
      </c>
      <c r="AG6" s="21" t="n">
        <f aca="false">MIN(1,SUMIFS(Network!$X$5:$X$14,Network!$D$5:$D$14,$A6,Network!$U$5:$U$14,1))</f>
        <v>0.6</v>
      </c>
      <c r="AH6" s="22" t="n">
        <f aca="false">AE6*Assumptions!$B$5+AF6*Assumptions!$B$6+AG6*Assumptions!$B$7</f>
        <v>988</v>
      </c>
      <c r="AI6" s="23" t="n">
        <f aca="false">AH6/Assumptions!$B$8</f>
        <v>0.633333333333333</v>
      </c>
      <c r="AJ6" s="24" t="n">
        <f aca="false">AH6/52</f>
        <v>19</v>
      </c>
      <c r="AK6" s="22" t="n">
        <f aca="false">AJ6*I6</f>
        <v>304</v>
      </c>
      <c r="AL6" s="19" t="n">
        <f aca="false">MIN(100,I6/Assumptions!$B$26*100)</f>
        <v>44.4444444444444</v>
      </c>
      <c r="AM6" s="19" t="n">
        <f aca="false">MIN(100,H6/Assumptions!$B$27*100)</f>
        <v>33.3333333333333</v>
      </c>
      <c r="AN6" s="20" t="n">
        <f aca="false">AI6*100*Assumptions!$B$23+AL6*Assumptions!$B$24+AM6*Assumptions!$B$25</f>
        <v>51.6666666666667</v>
      </c>
      <c r="AO6" s="25" t="n">
        <f aca="false">AN6*AD6/100</f>
        <v>13.5315</v>
      </c>
      <c r="AP6" s="6" t="n">
        <f aca="false">RANK(AO6,$AO$6:$AO$30)+COUNTIF($AO$6:AO6,AO6)-1</f>
        <v>19</v>
      </c>
      <c r="AQ6" s="6" t="str">
        <f aca="false">IF(AO6&gt;=Assumptions!$B$39,"Critical",IF(AO6&gt;=Assumptions!$B$40,"High",IF(AO6&gt;=Assumptions!$B$41,"Elevated","Watch")))</f>
        <v>Watch</v>
      </c>
      <c r="AR6" s="6" t="str">
        <f aca="false">IF(AND(AN6&gt;=Assumptions!$B$42,AD6&gt;=Assumptions!$B$43),"Act now",IF(AN6&gt;=Assumptions!$B$42,"Protect (structural)",IF(AD6&gt;=Assumptions!$B$43,"Remediate supplier","Routine")))</f>
        <v>Routine</v>
      </c>
      <c r="AS6" s="6" t="n">
        <f aca="false">_xlfn.MAXIFS(Network!$T$5:$T$36,Network!$D$5:$D$36,$A6)</f>
        <v>3</v>
      </c>
      <c r="AT6" s="6" t="n">
        <f aca="false">COUNT(K6:R6)</f>
        <v>8</v>
      </c>
      <c r="AU6" s="6" t="n">
        <f aca="false">IF(AT6&gt;=8,2,IF(AT6&gt;=6,1,0))</f>
        <v>2</v>
      </c>
      <c r="AV6" s="6" t="n">
        <f aca="false">IF(OR(C6=1,LEFT(G6,9)="Confirmed"),1,0)</f>
        <v>1</v>
      </c>
      <c r="AW6" s="6" t="n">
        <f aca="false">AS6+AU6+AV6</f>
        <v>6</v>
      </c>
      <c r="AX6" s="26" t="str">
        <f aca="false">IF(AW6&gt;=Assumptions!$B$44,"High",IF(AW6&gt;=Assumptions!$B$45,"Medium","Low"))</f>
        <v>High</v>
      </c>
      <c r="AY6" s="14" t="str">
        <f aca="false">IF(OR(AQ6="Critical",AQ6="High"),IF(AX6="Low","VERIFY first – urgent sub-tier fact-find",IF(OR(AQ6="Critical",AV6=1),"ACT – mitigate now","CONFIRM sole-source status, then qualify alternate")),IF(AQ6="Elevated",IF(AX6="Low","VERIFY – add to N-tier survey","PLAN – qualify alternate in 90 days"),"MONITOR – quarterly review"))</f>
        <v>MONITOR – quarterly review</v>
      </c>
      <c r="AZ6" s="14" t="str">
        <f aca="false">IF(K6&amp;L6&amp;O6&lt;&gt;"",IF(OR(K6="",L6="",O6=""),TRIM(IF(K6="","Current ratio; ","")&amp;IF(L6="","Net debt/EBITDA; ","")&amp;IF(O6="","Assurance gap","")),"—"),"Current ratio; Net debt/EBITDA; Assurance gap")</f>
        <v>—</v>
      </c>
    </row>
    <row r="7" customFormat="false" ht="23.85" hidden="false" customHeight="false" outlineLevel="0" collapsed="false">
      <c r="A7" s="6" t="s">
        <v>92</v>
      </c>
      <c r="B7" s="7" t="str">
        <f aca="false">INDEX(Data!$B$5:$B$34,MATCH($A7,Data!$A$5:$A$34,0))</f>
        <v>Boreal Power Systems Ltd.</v>
      </c>
      <c r="C7" s="6" t="n">
        <v>1</v>
      </c>
      <c r="D7" s="14" t="s">
        <v>93</v>
      </c>
      <c r="E7" s="7" t="str">
        <f aca="false">INDEX(Data!$G$38:$G$67,MATCH($A7,Data!$A$38:$A$67,0))</f>
        <v>SITE-025</v>
      </c>
      <c r="F7" s="7" t="str">
        <f aca="false">INDEX(Data!$I$38:$I$67,MATCH($A7,Data!$A$38:$A$67,0))</f>
        <v>Z05</v>
      </c>
      <c r="G7" s="15" t="s">
        <v>94</v>
      </c>
      <c r="H7" s="16" t="n">
        <v>1</v>
      </c>
      <c r="I7" s="17" t="n">
        <v>16</v>
      </c>
      <c r="J7" s="14" t="s">
        <v>91</v>
      </c>
      <c r="K7" s="18" t="n">
        <f aca="false">IF(INDEX(Data!$C$5:$C$34,MATCH($A7,Data!$A$5:$A$34,0))="","",INDEX(Data!$C$5:$C$34,MATCH($A7,Data!$A$5:$A$34,0)))</f>
        <v>1.54</v>
      </c>
      <c r="L7" s="18" t="n">
        <f aca="false">IF(INDEX(Data!$D$5:$D$34,MATCH($A7,Data!$A$5:$A$34,0))="","",INDEX(Data!$D$5:$D$34,MATCH($A7,Data!$A$5:$A$34,0)))</f>
        <v>3</v>
      </c>
      <c r="M7" s="8" t="n">
        <f aca="false">IF(INDEX(Data!$E$5:$E$34,MATCH($A7,Data!$A$5:$A$34,0))="","",INDEX(Data!$E$5:$E$34,MATCH($A7,Data!$A$5:$A$34,0)))</f>
        <v>83.1</v>
      </c>
      <c r="N7" s="8" t="n">
        <f aca="false">IF(INDEX(Data!$F$5:$F$34,MATCH($A7,Data!$A$5:$A$34,0))="","",INDEX(Data!$F$5:$F$34,MATCH($A7,Data!$A$5:$A$34,0)))</f>
        <v>2.2</v>
      </c>
      <c r="O7" s="8" t="n">
        <f aca="false">IF(INDEX(Data!$G$5:$G$34,MATCH($A7,Data!$A$5:$A$34,0))="","",INDEX(Data!$G$5:$G$34,MATCH($A7,Data!$A$5:$A$34,0)))</f>
        <v>33</v>
      </c>
      <c r="P7" s="8" t="n">
        <f aca="false">IF(INDEX(Data!$H$5:$H$34,MATCH($A7,Data!$A$5:$A$34,0))="","",INDEX(Data!$H$5:$H$34,MATCH($A7,Data!$A$5:$A$34,0)))</f>
        <v>31</v>
      </c>
      <c r="Q7" s="8" t="n">
        <f aca="false">IF(INDEX(Data!$I$5:$I$34,MATCH($A7,Data!$A$5:$A$34,0))="","",INDEX(Data!$I$5:$I$34,MATCH($A7,Data!$A$5:$A$34,0)))</f>
        <v>23</v>
      </c>
      <c r="R7" s="8" t="n">
        <f aca="false">IF(INDEX(Data!$J$5:$J$34,MATCH($A7,Data!$A$5:$A$34,0))="","",INDEX(Data!$J$5:$J$34,MATCH($A7,Data!$A$5:$A$34,0)))</f>
        <v>19</v>
      </c>
      <c r="S7" s="19" t="n">
        <f aca="false">IF(L7="","",IF(L7&lt;=Assumptions!$B$31,Assumptions!$H$31,IF(L7&lt;=Assumptions!$C$31,Assumptions!$H$31+(L7-Assumptions!$B$31)/(Assumptions!$C$31-Assumptions!$B$31)*(Assumptions!$I$31-Assumptions!$H$31),IF(L7&lt;=Assumptions!$D$31,Assumptions!$I$31+(L7-Assumptions!$C$31)/(Assumptions!$D$31-Assumptions!$C$31)*(Assumptions!$J$31-Assumptions!$I$31),IF(L7&lt;=Assumptions!$E$31,Assumptions!$J$31+(L7-Assumptions!$D$31)/(Assumptions!$E$31-Assumptions!$D$31)*(Assumptions!$K$31-Assumptions!$J$31),IF(L7&lt;=Assumptions!$F$31,Assumptions!$K$31+(L7-Assumptions!$E$31)/(Assumptions!$F$31-Assumptions!$E$31)*(Assumptions!$L$31-Assumptions!$K$31),IF(L7&lt;=Assumptions!$G$31,Assumptions!$L$31+(L7-Assumptions!$F$31)/(Assumptions!$G$31-Assumptions!$F$31)*(Assumptions!$M$31-Assumptions!$L$31),Assumptions!$M$31)))))))</f>
        <v>43.3333333333333</v>
      </c>
      <c r="T7" s="19" t="n">
        <f aca="false">IF(K7="","",IF(K7&lt;=Assumptions!$B$32,Assumptions!$H$32,IF(K7&lt;=Assumptions!$C$32,Assumptions!$H$32+(K7-Assumptions!$B$32)/(Assumptions!$C$32-Assumptions!$B$32)*(Assumptions!$I$32-Assumptions!$H$32),IF(K7&lt;=Assumptions!$D$32,Assumptions!$I$32+(K7-Assumptions!$C$32)/(Assumptions!$D$32-Assumptions!$C$32)*(Assumptions!$J$32-Assumptions!$I$32),IF(K7&lt;=Assumptions!$E$32,Assumptions!$J$32+(K7-Assumptions!$D$32)/(Assumptions!$E$32-Assumptions!$D$32)*(Assumptions!$K$32-Assumptions!$J$32),IF(K7&lt;=Assumptions!$F$32,Assumptions!$K$32+(K7-Assumptions!$E$32)/(Assumptions!$F$32-Assumptions!$E$32)*(Assumptions!$L$32-Assumptions!$K$32),IF(K7&lt;=Assumptions!$G$32,Assumptions!$L$32+(K7-Assumptions!$F$32)/(Assumptions!$G$32-Assumptions!$F$32)*(Assumptions!$M$32-Assumptions!$L$32),Assumptions!$M$32)))))))</f>
        <v>28.8</v>
      </c>
      <c r="U7" s="19" t="n">
        <f aca="false">IF(M7&lt;=Assumptions!$B$33,Assumptions!$H$33,IF(M7&lt;=Assumptions!$C$33,Assumptions!$H$33+(M7-Assumptions!$B$33)/(Assumptions!$C$33-Assumptions!$B$33)*(Assumptions!$I$33-Assumptions!$H$33),IF(M7&lt;=Assumptions!$D$33,Assumptions!$I$33+(M7-Assumptions!$C$33)/(Assumptions!$D$33-Assumptions!$C$33)*(Assumptions!$J$33-Assumptions!$I$33),IF(M7&lt;=Assumptions!$E$33,Assumptions!$J$33+(M7-Assumptions!$D$33)/(Assumptions!$E$33-Assumptions!$D$33)*(Assumptions!$K$33-Assumptions!$J$33),IF(M7&lt;=Assumptions!$F$33,Assumptions!$K$33+(M7-Assumptions!$E$33)/(Assumptions!$F$33-Assumptions!$E$33)*(Assumptions!$L$33-Assumptions!$K$33),IF(M7&lt;=Assumptions!$G$33,Assumptions!$L$33+(M7-Assumptions!$F$33)/(Assumptions!$G$33-Assumptions!$F$33)*(Assumptions!$M$33-Assumptions!$L$33),Assumptions!$M$33))))))</f>
        <v>59.5</v>
      </c>
      <c r="V7" s="19" t="n">
        <f aca="false">IF(N7&lt;=Assumptions!$B$34,Assumptions!$H$34,IF(N7&lt;=Assumptions!$C$34,Assumptions!$H$34+(N7-Assumptions!$B$34)/(Assumptions!$C$34-Assumptions!$B$34)*(Assumptions!$I$34-Assumptions!$H$34),IF(N7&lt;=Assumptions!$D$34,Assumptions!$I$34+(N7-Assumptions!$C$34)/(Assumptions!$D$34-Assumptions!$C$34)*(Assumptions!$J$34-Assumptions!$I$34),IF(N7&lt;=Assumptions!$E$34,Assumptions!$J$34+(N7-Assumptions!$D$34)/(Assumptions!$E$34-Assumptions!$D$34)*(Assumptions!$K$34-Assumptions!$J$34),IF(N7&lt;=Assumptions!$F$34,Assumptions!$K$34+(N7-Assumptions!$E$34)/(Assumptions!$F$34-Assumptions!$E$34)*(Assumptions!$L$34-Assumptions!$K$34),IF(N7&lt;=Assumptions!$G$34,Assumptions!$L$34+(N7-Assumptions!$F$34)/(Assumptions!$G$34-Assumptions!$F$34)*(Assumptions!$M$34-Assumptions!$L$34),Assumptions!$M$34))))))</f>
        <v>0</v>
      </c>
      <c r="W7" s="19" t="n">
        <f aca="false">IF(S7="",PERCENTILE($S$6:$S$30,Assumptions!$B$36),S7)</f>
        <v>43.3333333333333</v>
      </c>
      <c r="X7" s="19" t="n">
        <f aca="false">IF(T7="",PERCENTILE($T$6:$T$30,Assumptions!$B$36),T7)</f>
        <v>28.8</v>
      </c>
      <c r="Y7" s="19" t="n">
        <f aca="false">IF(O7="",PERCENTILE($O$6:$O$30,Assumptions!$B$36),O7)</f>
        <v>33</v>
      </c>
      <c r="Z7" s="19" t="n">
        <f aca="false">W7*Assumptions!$B$16+X7*Assumptions!$B$17</f>
        <v>36.0666666666667</v>
      </c>
      <c r="AA7" s="19" t="n">
        <f aca="false">U7*Assumptions!$B$18+V7*Assumptions!$B$19</f>
        <v>29.75</v>
      </c>
      <c r="AB7" s="19" t="n">
        <f aca="false">AVERAGE(P7:R7)</f>
        <v>24.3333333333333</v>
      </c>
      <c r="AC7" s="16" t="n">
        <v>0</v>
      </c>
      <c r="AD7" s="20" t="n">
        <f aca="false">MIN(100,Z7*Assumptions!$B$11+AA7*Assumptions!$B$12+Y7*Assumptions!$B$13+AB7*Assumptions!$B$14+AC7*Assumptions!$B$20)</f>
        <v>30.7783333333333</v>
      </c>
      <c r="AE7" s="21" t="n">
        <f aca="false">MIN(1,SUMIFS(Network!$V$5:$V$14,Network!$D$5:$D$14,$A7,Network!$U$5:$U$14,1))</f>
        <v>0.4</v>
      </c>
      <c r="AF7" s="21" t="n">
        <f aca="false">MIN(1,SUMIFS(Network!$W$5:$W$14,Network!$D$5:$D$14,$A7,Network!$U$5:$U$14,1))</f>
        <v>0.3</v>
      </c>
      <c r="AG7" s="21" t="n">
        <f aca="false">MIN(1,SUMIFS(Network!$X$5:$X$14,Network!$D$5:$D$14,$A7,Network!$U$5:$U$14,1))</f>
        <v>0.4</v>
      </c>
      <c r="AH7" s="22" t="n">
        <f aca="false">AE7*Assumptions!$B$5+AF7*Assumptions!$B$6+AG7*Assumptions!$B$7</f>
        <v>572</v>
      </c>
      <c r="AI7" s="23" t="n">
        <f aca="false">AH7/Assumptions!$B$8</f>
        <v>0.366666666666667</v>
      </c>
      <c r="AJ7" s="24" t="n">
        <f aca="false">AH7/52</f>
        <v>11</v>
      </c>
      <c r="AK7" s="22" t="n">
        <f aca="false">AJ7*I7</f>
        <v>176</v>
      </c>
      <c r="AL7" s="19" t="n">
        <f aca="false">MIN(100,I7/Assumptions!$B$26*100)</f>
        <v>44.4444444444444</v>
      </c>
      <c r="AM7" s="19" t="n">
        <f aca="false">MIN(100,H7/Assumptions!$B$27*100)</f>
        <v>33.3333333333333</v>
      </c>
      <c r="AN7" s="20" t="n">
        <f aca="false">AI7*100*Assumptions!$B$23+AL7*Assumptions!$B$24+AM7*Assumptions!$B$25</f>
        <v>38.3333333333333</v>
      </c>
      <c r="AO7" s="25" t="n">
        <f aca="false">AN7*AD7/100</f>
        <v>11.7983611111111</v>
      </c>
      <c r="AP7" s="6" t="n">
        <f aca="false">RANK(AO7,$AO$6:$AO$30)+COUNTIF($AO$6:AO7,AO7)-1</f>
        <v>21</v>
      </c>
      <c r="AQ7" s="6" t="str">
        <f aca="false">IF(AO7&gt;=Assumptions!$B$39,"Critical",IF(AO7&gt;=Assumptions!$B$40,"High",IF(AO7&gt;=Assumptions!$B$41,"Elevated","Watch")))</f>
        <v>Watch</v>
      </c>
      <c r="AR7" s="6" t="str">
        <f aca="false">IF(AND(AN7&gt;=Assumptions!$B$42,AD7&gt;=Assumptions!$B$43),"Act now",IF(AN7&gt;=Assumptions!$B$42,"Protect (structural)",IF(AD7&gt;=Assumptions!$B$43,"Remediate supplier","Routine")))</f>
        <v>Routine</v>
      </c>
      <c r="AS7" s="6" t="n">
        <f aca="false">_xlfn.MAXIFS(Network!$T$5:$T$36,Network!$D$5:$D$36,$A7)</f>
        <v>3</v>
      </c>
      <c r="AT7" s="6" t="n">
        <f aca="false">COUNT(K7:R7)</f>
        <v>8</v>
      </c>
      <c r="AU7" s="6" t="n">
        <f aca="false">IF(AT7&gt;=8,2,IF(AT7&gt;=6,1,0))</f>
        <v>2</v>
      </c>
      <c r="AV7" s="6" t="n">
        <f aca="false">IF(OR(C7=1,LEFT(G7,9)="Confirmed"),1,0)</f>
        <v>1</v>
      </c>
      <c r="AW7" s="6" t="n">
        <f aca="false">AS7+AU7+AV7</f>
        <v>6</v>
      </c>
      <c r="AX7" s="26" t="str">
        <f aca="false">IF(AW7&gt;=Assumptions!$B$44,"High",IF(AW7&gt;=Assumptions!$B$45,"Medium","Low"))</f>
        <v>High</v>
      </c>
      <c r="AY7" s="14" t="str">
        <f aca="false">IF(OR(AQ7="Critical",AQ7="High"),IF(AX7="Low","VERIFY first – urgent sub-tier fact-find",IF(OR(AQ7="Critical",AV7=1),"ACT – mitigate now","CONFIRM sole-source status, then qualify alternate")),IF(AQ7="Elevated",IF(AX7="Low","VERIFY – add to N-tier survey","PLAN – qualify alternate in 90 days"),"MONITOR – quarterly review"))</f>
        <v>MONITOR – quarterly review</v>
      </c>
      <c r="AZ7" s="14" t="str">
        <f aca="false">IF(K7&amp;L7&amp;O7&lt;&gt;"",IF(OR(K7="",L7="",O7=""),TRIM(IF(K7="","Current ratio; ","")&amp;IF(L7="","Net debt/EBITDA; ","")&amp;IF(O7="","Assurance gap","")),"—"),"Current ratio; Net debt/EBITDA; Assurance gap")</f>
        <v>—</v>
      </c>
    </row>
    <row r="8" customFormat="false" ht="23.85" hidden="false" customHeight="false" outlineLevel="0" collapsed="false">
      <c r="A8" s="6" t="s">
        <v>95</v>
      </c>
      <c r="B8" s="7" t="str">
        <f aca="false">INDEX(Data!$B$5:$B$34,MATCH($A8,Data!$A$5:$A$34,0))</f>
        <v>Cobalt Control Electronics Ltd.</v>
      </c>
      <c r="C8" s="6" t="n">
        <v>1</v>
      </c>
      <c r="D8" s="14" t="s">
        <v>96</v>
      </c>
      <c r="E8" s="7" t="str">
        <f aca="false">INDEX(Data!$G$38:$G$67,MATCH($A8,Data!$A$38:$A$67,0))</f>
        <v>SITE-032</v>
      </c>
      <c r="F8" s="7" t="str">
        <f aca="false">INDEX(Data!$I$38:$I$67,MATCH($A8,Data!$A$38:$A$67,0))</f>
        <v>Z04</v>
      </c>
      <c r="G8" s="15" t="s">
        <v>97</v>
      </c>
      <c r="H8" s="16" t="n">
        <v>1</v>
      </c>
      <c r="I8" s="17" t="n">
        <v>12</v>
      </c>
      <c r="J8" s="14" t="s">
        <v>98</v>
      </c>
      <c r="K8" s="18" t="n">
        <f aca="false">IF(INDEX(Data!$C$5:$C$34,MATCH($A8,Data!$A$5:$A$34,0))="","",INDEX(Data!$C$5:$C$34,MATCH($A8,Data!$A$5:$A$34,0)))</f>
        <v>2.34</v>
      </c>
      <c r="L8" s="18" t="n">
        <f aca="false">IF(INDEX(Data!$D$5:$D$34,MATCH($A8,Data!$A$5:$A$34,0))="","",INDEX(Data!$D$5:$D$34,MATCH($A8,Data!$A$5:$A$34,0)))</f>
        <v>4</v>
      </c>
      <c r="M8" s="8" t="n">
        <f aca="false">IF(INDEX(Data!$E$5:$E$34,MATCH($A8,Data!$A$5:$A$34,0))="","",INDEX(Data!$E$5:$E$34,MATCH($A8,Data!$A$5:$A$34,0)))</f>
        <v>83.3</v>
      </c>
      <c r="N8" s="8" t="n">
        <f aca="false">IF(INDEX(Data!$F$5:$F$34,MATCH($A8,Data!$A$5:$A$34,0))="","",INDEX(Data!$F$5:$F$34,MATCH($A8,Data!$A$5:$A$34,0)))</f>
        <v>-2.3</v>
      </c>
      <c r="O8" s="8" t="n">
        <f aca="false">IF(INDEX(Data!$G$5:$G$34,MATCH($A8,Data!$A$5:$A$34,0))="","",INDEX(Data!$G$5:$G$34,MATCH($A8,Data!$A$5:$A$34,0)))</f>
        <v>42</v>
      </c>
      <c r="P8" s="8" t="n">
        <f aca="false">IF(INDEX(Data!$H$5:$H$34,MATCH($A8,Data!$A$5:$A$34,0))="","",INDEX(Data!$H$5:$H$34,MATCH($A8,Data!$A$5:$A$34,0)))</f>
        <v>58</v>
      </c>
      <c r="Q8" s="8" t="n">
        <f aca="false">IF(INDEX(Data!$I$5:$I$34,MATCH($A8,Data!$A$5:$A$34,0))="","",INDEX(Data!$I$5:$I$34,MATCH($A8,Data!$A$5:$A$34,0)))</f>
        <v>62</v>
      </c>
      <c r="R8" s="8" t="n">
        <f aca="false">IF(INDEX(Data!$J$5:$J$34,MATCH($A8,Data!$A$5:$A$34,0))="","",INDEX(Data!$J$5:$J$34,MATCH($A8,Data!$A$5:$A$34,0)))</f>
        <v>52</v>
      </c>
      <c r="S8" s="19" t="n">
        <f aca="false">IF(L8="","",IF(L8&lt;=Assumptions!$B$31,Assumptions!$H$31,IF(L8&lt;=Assumptions!$C$31,Assumptions!$H$31+(L8-Assumptions!$B$31)/(Assumptions!$C$31-Assumptions!$B$31)*(Assumptions!$I$31-Assumptions!$H$31),IF(L8&lt;=Assumptions!$D$31,Assumptions!$I$31+(L8-Assumptions!$C$31)/(Assumptions!$D$31-Assumptions!$C$31)*(Assumptions!$J$31-Assumptions!$I$31),IF(L8&lt;=Assumptions!$E$31,Assumptions!$J$31+(L8-Assumptions!$D$31)/(Assumptions!$E$31-Assumptions!$D$31)*(Assumptions!$K$31-Assumptions!$J$31),IF(L8&lt;=Assumptions!$F$31,Assumptions!$K$31+(L8-Assumptions!$E$31)/(Assumptions!$F$31-Assumptions!$E$31)*(Assumptions!$L$31-Assumptions!$K$31),IF(L8&lt;=Assumptions!$G$31,Assumptions!$L$31+(L8-Assumptions!$F$31)/(Assumptions!$G$31-Assumptions!$F$31)*(Assumptions!$M$31-Assumptions!$L$31),Assumptions!$M$31)))))))</f>
        <v>70</v>
      </c>
      <c r="T8" s="19" t="n">
        <f aca="false">IF(K8="","",IF(K8&lt;=Assumptions!$B$32,Assumptions!$H$32,IF(K8&lt;=Assumptions!$C$32,Assumptions!$H$32+(K8-Assumptions!$B$32)/(Assumptions!$C$32-Assumptions!$B$32)*(Assumptions!$I$32-Assumptions!$H$32),IF(K8&lt;=Assumptions!$D$32,Assumptions!$I$32+(K8-Assumptions!$C$32)/(Assumptions!$D$32-Assumptions!$C$32)*(Assumptions!$J$32-Assumptions!$I$32),IF(K8&lt;=Assumptions!$E$32,Assumptions!$J$32+(K8-Assumptions!$D$32)/(Assumptions!$E$32-Assumptions!$D$32)*(Assumptions!$K$32-Assumptions!$J$32),IF(K8&lt;=Assumptions!$F$32,Assumptions!$K$32+(K8-Assumptions!$E$32)/(Assumptions!$F$32-Assumptions!$E$32)*(Assumptions!$L$32-Assumptions!$K$32),IF(K8&lt;=Assumptions!$G$32,Assumptions!$L$32+(K8-Assumptions!$F$32)/(Assumptions!$G$32-Assumptions!$F$32)*(Assumptions!$M$32-Assumptions!$L$32),Assumptions!$M$32)))))))</f>
        <v>4.8</v>
      </c>
      <c r="U8" s="19" t="n">
        <f aca="false">IF(M8&lt;=Assumptions!$B$33,Assumptions!$H$33,IF(M8&lt;=Assumptions!$C$33,Assumptions!$H$33+(M8-Assumptions!$B$33)/(Assumptions!$C$33-Assumptions!$B$33)*(Assumptions!$I$33-Assumptions!$H$33),IF(M8&lt;=Assumptions!$D$33,Assumptions!$I$33+(M8-Assumptions!$C$33)/(Assumptions!$D$33-Assumptions!$C$33)*(Assumptions!$J$33-Assumptions!$I$33),IF(M8&lt;=Assumptions!$E$33,Assumptions!$J$33+(M8-Assumptions!$D$33)/(Assumptions!$E$33-Assumptions!$D$33)*(Assumptions!$K$33-Assumptions!$J$33),IF(M8&lt;=Assumptions!$F$33,Assumptions!$K$33+(M8-Assumptions!$E$33)/(Assumptions!$F$33-Assumptions!$E$33)*(Assumptions!$L$33-Assumptions!$K$33),IF(M8&lt;=Assumptions!$G$33,Assumptions!$L$33+(M8-Assumptions!$F$33)/(Assumptions!$G$33-Assumptions!$F$33)*(Assumptions!$M$33-Assumptions!$L$33),Assumptions!$M$33))))))</f>
        <v>58.5</v>
      </c>
      <c r="V8" s="19" t="n">
        <f aca="false">IF(N8&lt;=Assumptions!$B$34,Assumptions!$H$34,IF(N8&lt;=Assumptions!$C$34,Assumptions!$H$34+(N8-Assumptions!$B$34)/(Assumptions!$C$34-Assumptions!$B$34)*(Assumptions!$I$34-Assumptions!$H$34),IF(N8&lt;=Assumptions!$D$34,Assumptions!$I$34+(N8-Assumptions!$C$34)/(Assumptions!$D$34-Assumptions!$C$34)*(Assumptions!$J$34-Assumptions!$I$34),IF(N8&lt;=Assumptions!$E$34,Assumptions!$J$34+(N8-Assumptions!$D$34)/(Assumptions!$E$34-Assumptions!$D$34)*(Assumptions!$K$34-Assumptions!$J$34),IF(N8&lt;=Assumptions!$F$34,Assumptions!$K$34+(N8-Assumptions!$E$34)/(Assumptions!$F$34-Assumptions!$E$34)*(Assumptions!$L$34-Assumptions!$K$34),IF(N8&lt;=Assumptions!$G$34,Assumptions!$L$34+(N8-Assumptions!$F$34)/(Assumptions!$G$34-Assumptions!$F$34)*(Assumptions!$M$34-Assumptions!$L$34),Assumptions!$M$34))))))</f>
        <v>37</v>
      </c>
      <c r="W8" s="19" t="n">
        <f aca="false">IF(S8="",PERCENTILE($S$6:$S$30,Assumptions!$B$36),S8)</f>
        <v>70</v>
      </c>
      <c r="X8" s="19" t="n">
        <f aca="false">IF(T8="",PERCENTILE($T$6:$T$30,Assumptions!$B$36),T8)</f>
        <v>4.8</v>
      </c>
      <c r="Y8" s="19" t="n">
        <f aca="false">IF(O8="",PERCENTILE($O$6:$O$30,Assumptions!$B$36),O8)</f>
        <v>42</v>
      </c>
      <c r="Z8" s="19" t="n">
        <f aca="false">W8*Assumptions!$B$16+X8*Assumptions!$B$17</f>
        <v>37.4</v>
      </c>
      <c r="AA8" s="19" t="n">
        <f aca="false">U8*Assumptions!$B$18+V8*Assumptions!$B$19</f>
        <v>47.75</v>
      </c>
      <c r="AB8" s="19" t="n">
        <f aca="false">AVERAGE(P8:R8)</f>
        <v>57.3333333333333</v>
      </c>
      <c r="AC8" s="16" t="n">
        <v>0</v>
      </c>
      <c r="AD8" s="20" t="n">
        <f aca="false">MIN(100,Z8*Assumptions!$B$11+AA8*Assumptions!$B$12+Y8*Assumptions!$B$13+AB8*Assumptions!$B$14+AC8*Assumptions!$B$20)</f>
        <v>46.1783333333333</v>
      </c>
      <c r="AE8" s="21" t="n">
        <f aca="false">MIN(1,SUMIFS(Network!$V$5:$V$14,Network!$D$5:$D$14,$A8,Network!$U$5:$U$14,1))</f>
        <v>1</v>
      </c>
      <c r="AF8" s="21" t="n">
        <f aca="false">MIN(1,SUMIFS(Network!$W$5:$W$14,Network!$D$5:$D$14,$A8,Network!$U$5:$U$14,1))</f>
        <v>1</v>
      </c>
      <c r="AG8" s="21" t="n">
        <f aca="false">MIN(1,SUMIFS(Network!$X$5:$X$14,Network!$D$5:$D$14,$A8,Network!$U$5:$U$14,1))</f>
        <v>1</v>
      </c>
      <c r="AH8" s="22" t="n">
        <f aca="false">AE8*Assumptions!$B$5+AF8*Assumptions!$B$6+AG8*Assumptions!$B$7</f>
        <v>1560</v>
      </c>
      <c r="AI8" s="23" t="n">
        <f aca="false">AH8/Assumptions!$B$8</f>
        <v>1</v>
      </c>
      <c r="AJ8" s="24" t="n">
        <f aca="false">AH8/52</f>
        <v>30</v>
      </c>
      <c r="AK8" s="22" t="n">
        <f aca="false">AJ8*I8</f>
        <v>360</v>
      </c>
      <c r="AL8" s="19" t="n">
        <f aca="false">MIN(100,I8/Assumptions!$B$26*100)</f>
        <v>33.3333333333333</v>
      </c>
      <c r="AM8" s="19" t="n">
        <f aca="false">MIN(100,H8/Assumptions!$B$27*100)</f>
        <v>33.3333333333333</v>
      </c>
      <c r="AN8" s="20" t="n">
        <f aca="false">AI8*100*Assumptions!$B$23+AL8*Assumptions!$B$24+AM8*Assumptions!$B$25</f>
        <v>66.6666666666667</v>
      </c>
      <c r="AO8" s="25" t="n">
        <f aca="false">AN8*AD8/100</f>
        <v>30.7855555555556</v>
      </c>
      <c r="AP8" s="6" t="n">
        <f aca="false">RANK(AO8,$AO$6:$AO$30)+COUNTIF($AO$6:AO8,AO8)-1</f>
        <v>9</v>
      </c>
      <c r="AQ8" s="6" t="str">
        <f aca="false">IF(AO8&gt;=Assumptions!$B$39,"Critical",IF(AO8&gt;=Assumptions!$B$40,"High",IF(AO8&gt;=Assumptions!$B$41,"Elevated","Watch")))</f>
        <v>High</v>
      </c>
      <c r="AR8" s="6" t="str">
        <f aca="false">IF(AND(AN8&gt;=Assumptions!$B$42,AD8&gt;=Assumptions!$B$43),"Act now",IF(AN8&gt;=Assumptions!$B$42,"Protect (structural)",IF(AD8&gt;=Assumptions!$B$43,"Remediate supplier","Routine")))</f>
        <v>Act now</v>
      </c>
      <c r="AS8" s="6" t="n">
        <f aca="false">_xlfn.MAXIFS(Network!$T$5:$T$36,Network!$D$5:$D$36,$A8)</f>
        <v>3</v>
      </c>
      <c r="AT8" s="6" t="n">
        <f aca="false">COUNT(K8:R8)</f>
        <v>8</v>
      </c>
      <c r="AU8" s="6" t="n">
        <f aca="false">IF(AT8&gt;=8,2,IF(AT8&gt;=6,1,0))</f>
        <v>2</v>
      </c>
      <c r="AV8" s="6" t="n">
        <f aca="false">IF(OR(C8=1,LEFT(G8,9)="Confirmed"),1,0)</f>
        <v>1</v>
      </c>
      <c r="AW8" s="6" t="n">
        <f aca="false">AS8+AU8+AV8</f>
        <v>6</v>
      </c>
      <c r="AX8" s="26" t="str">
        <f aca="false">IF(AW8&gt;=Assumptions!$B$44,"High",IF(AW8&gt;=Assumptions!$B$45,"Medium","Low"))</f>
        <v>High</v>
      </c>
      <c r="AY8" s="14" t="str">
        <f aca="false">IF(OR(AQ8="Critical",AQ8="High"),IF(AX8="Low","VERIFY first – urgent sub-tier fact-find",IF(OR(AQ8="Critical",AV8=1),"ACT – mitigate now","CONFIRM sole-source status, then qualify alternate")),IF(AQ8="Elevated",IF(AX8="Low","VERIFY – add to N-tier survey","PLAN – qualify alternate in 90 days"),"MONITOR – quarterly review"))</f>
        <v>ACT – mitigate now</v>
      </c>
      <c r="AZ8" s="14" t="str">
        <f aca="false">IF(K8&amp;L8&amp;O8&lt;&gt;"",IF(OR(K8="",L8="",O8=""),TRIM(IF(K8="","Current ratio; ","")&amp;IF(L8="","Net debt/EBITDA; ","")&amp;IF(O8="","Assurance gap","")),"—"),"Current ratio; Net debt/EBITDA; Assurance gap")</f>
        <v>—</v>
      </c>
    </row>
    <row r="9" customFormat="false" ht="23.85" hidden="false" customHeight="false" outlineLevel="0" collapsed="false">
      <c r="A9" s="6" t="s">
        <v>99</v>
      </c>
      <c r="B9" s="7" t="str">
        <f aca="false">INDEX(Data!$B$5:$B$34,MATCH($A9,Data!$A$5:$A$34,0))</f>
        <v>Delta Capacitor Works Ltd.</v>
      </c>
      <c r="C9" s="6" t="n">
        <v>1</v>
      </c>
      <c r="D9" s="14" t="s">
        <v>100</v>
      </c>
      <c r="E9" s="7" t="str">
        <f aca="false">INDEX(Data!$G$38:$G$67,MATCH($A9,Data!$A$38:$A$67,0))</f>
        <v>SITE-039</v>
      </c>
      <c r="F9" s="7" t="str">
        <f aca="false">INDEX(Data!$I$38:$I$67,MATCH($A9,Data!$A$38:$A$67,0))</f>
        <v>Z03</v>
      </c>
      <c r="G9" s="15" t="s">
        <v>97</v>
      </c>
      <c r="H9" s="16" t="n">
        <v>1</v>
      </c>
      <c r="I9" s="17" t="n">
        <v>8</v>
      </c>
      <c r="J9" s="14" t="s">
        <v>101</v>
      </c>
      <c r="K9" s="18" t="n">
        <f aca="false">IF(INDEX(Data!$C$5:$C$34,MATCH($A9,Data!$A$5:$A$34,0))="","",INDEX(Data!$C$5:$C$34,MATCH($A9,Data!$A$5:$A$34,0)))</f>
        <v>1.82</v>
      </c>
      <c r="L9" s="18" t="n">
        <f aca="false">IF(INDEX(Data!$D$5:$D$34,MATCH($A9,Data!$A$5:$A$34,0))="","",INDEX(Data!$D$5:$D$34,MATCH($A9,Data!$A$5:$A$34,0)))</f>
        <v>1.67</v>
      </c>
      <c r="M9" s="8" t="n">
        <f aca="false">IF(INDEX(Data!$E$5:$E$34,MATCH($A9,Data!$A$5:$A$34,0))="","",INDEX(Data!$E$5:$E$34,MATCH($A9,Data!$A$5:$A$34,0)))</f>
        <v>86.9</v>
      </c>
      <c r="N9" s="8" t="n">
        <f aca="false">IF(INDEX(Data!$F$5:$F$34,MATCH($A9,Data!$A$5:$A$34,0))="","",INDEX(Data!$F$5:$F$34,MATCH($A9,Data!$A$5:$A$34,0)))</f>
        <v>2.2</v>
      </c>
      <c r="O9" s="8" t="n">
        <f aca="false">IF(INDEX(Data!$G$5:$G$34,MATCH($A9,Data!$A$5:$A$34,0))="","",INDEX(Data!$G$5:$G$34,MATCH($A9,Data!$A$5:$A$34,0)))</f>
        <v>51</v>
      </c>
      <c r="P9" s="8" t="n">
        <f aca="false">IF(INDEX(Data!$H$5:$H$34,MATCH($A9,Data!$A$5:$A$34,0))="","",INDEX(Data!$H$5:$H$34,MATCH($A9,Data!$A$5:$A$34,0)))</f>
        <v>19</v>
      </c>
      <c r="Q9" s="8" t="n">
        <f aca="false">IF(INDEX(Data!$I$5:$I$34,MATCH($A9,Data!$A$5:$A$34,0))="","",INDEX(Data!$I$5:$I$34,MATCH($A9,Data!$A$5:$A$34,0)))</f>
        <v>26</v>
      </c>
      <c r="R9" s="8" t="n">
        <f aca="false">IF(INDEX(Data!$J$5:$J$34,MATCH($A9,Data!$A$5:$A$34,0))="","",INDEX(Data!$J$5:$J$34,MATCH($A9,Data!$A$5:$A$34,0)))</f>
        <v>25</v>
      </c>
      <c r="S9" s="19" t="n">
        <f aca="false">IF(L9="","",IF(L9&lt;=Assumptions!$B$31,Assumptions!$H$31,IF(L9&lt;=Assumptions!$C$31,Assumptions!$H$31+(L9-Assumptions!$B$31)/(Assumptions!$C$31-Assumptions!$B$31)*(Assumptions!$I$31-Assumptions!$H$31),IF(L9&lt;=Assumptions!$D$31,Assumptions!$I$31+(L9-Assumptions!$C$31)/(Assumptions!$D$31-Assumptions!$C$31)*(Assumptions!$J$31-Assumptions!$I$31),IF(L9&lt;=Assumptions!$E$31,Assumptions!$J$31+(L9-Assumptions!$D$31)/(Assumptions!$E$31-Assumptions!$D$31)*(Assumptions!$K$31-Assumptions!$J$31),IF(L9&lt;=Assumptions!$F$31,Assumptions!$K$31+(L9-Assumptions!$E$31)/(Assumptions!$F$31-Assumptions!$E$31)*(Assumptions!$L$31-Assumptions!$K$31),IF(L9&lt;=Assumptions!$G$31,Assumptions!$L$31+(L9-Assumptions!$F$31)/(Assumptions!$G$31-Assumptions!$F$31)*(Assumptions!$M$31-Assumptions!$L$31),Assumptions!$M$31)))))))</f>
        <v>20.04</v>
      </c>
      <c r="T9" s="19" t="n">
        <f aca="false">IF(K9="","",IF(K9&lt;=Assumptions!$B$32,Assumptions!$H$32,IF(K9&lt;=Assumptions!$C$32,Assumptions!$H$32+(K9-Assumptions!$B$32)/(Assumptions!$C$32-Assumptions!$B$32)*(Assumptions!$I$32-Assumptions!$H$32),IF(K9&lt;=Assumptions!$D$32,Assumptions!$I$32+(K9-Assumptions!$C$32)/(Assumptions!$D$32-Assumptions!$C$32)*(Assumptions!$J$32-Assumptions!$I$32),IF(K9&lt;=Assumptions!$E$32,Assumptions!$J$32+(K9-Assumptions!$D$32)/(Assumptions!$E$32-Assumptions!$D$32)*(Assumptions!$K$32-Assumptions!$J$32),IF(K9&lt;=Assumptions!$F$32,Assumptions!$K$32+(K9-Assumptions!$E$32)/(Assumptions!$F$32-Assumptions!$E$32)*(Assumptions!$L$32-Assumptions!$K$32),IF(K9&lt;=Assumptions!$G$32,Assumptions!$L$32+(K9-Assumptions!$F$32)/(Assumptions!$G$32-Assumptions!$F$32)*(Assumptions!$M$32-Assumptions!$L$32),Assumptions!$M$32)))))))</f>
        <v>20.4</v>
      </c>
      <c r="U9" s="19" t="n">
        <f aca="false">IF(M9&lt;=Assumptions!$B$33,Assumptions!$H$33,IF(M9&lt;=Assumptions!$C$33,Assumptions!$H$33+(M9-Assumptions!$B$33)/(Assumptions!$C$33-Assumptions!$B$33)*(Assumptions!$I$33-Assumptions!$H$33),IF(M9&lt;=Assumptions!$D$33,Assumptions!$I$33+(M9-Assumptions!$C$33)/(Assumptions!$D$33-Assumptions!$C$33)*(Assumptions!$J$33-Assumptions!$I$33),IF(M9&lt;=Assumptions!$E$33,Assumptions!$J$33+(M9-Assumptions!$D$33)/(Assumptions!$E$33-Assumptions!$D$33)*(Assumptions!$K$33-Assumptions!$J$33),IF(M9&lt;=Assumptions!$F$33,Assumptions!$K$33+(M9-Assumptions!$E$33)/(Assumptions!$F$33-Assumptions!$E$33)*(Assumptions!$L$33-Assumptions!$K$33),IF(M9&lt;=Assumptions!$G$33,Assumptions!$L$33+(M9-Assumptions!$F$33)/(Assumptions!$G$33-Assumptions!$F$33)*(Assumptions!$M$33-Assumptions!$L$33),Assumptions!$M$33))))))</f>
        <v>40.5</v>
      </c>
      <c r="V9" s="19" t="n">
        <f aca="false">IF(N9&lt;=Assumptions!$B$34,Assumptions!$H$34,IF(N9&lt;=Assumptions!$C$34,Assumptions!$H$34+(N9-Assumptions!$B$34)/(Assumptions!$C$34-Assumptions!$B$34)*(Assumptions!$I$34-Assumptions!$H$34),IF(N9&lt;=Assumptions!$D$34,Assumptions!$I$34+(N9-Assumptions!$C$34)/(Assumptions!$D$34-Assumptions!$C$34)*(Assumptions!$J$34-Assumptions!$I$34),IF(N9&lt;=Assumptions!$E$34,Assumptions!$J$34+(N9-Assumptions!$D$34)/(Assumptions!$E$34-Assumptions!$D$34)*(Assumptions!$K$34-Assumptions!$J$34),IF(N9&lt;=Assumptions!$F$34,Assumptions!$K$34+(N9-Assumptions!$E$34)/(Assumptions!$F$34-Assumptions!$E$34)*(Assumptions!$L$34-Assumptions!$K$34),IF(N9&lt;=Assumptions!$G$34,Assumptions!$L$34+(N9-Assumptions!$F$34)/(Assumptions!$G$34-Assumptions!$F$34)*(Assumptions!$M$34-Assumptions!$L$34),Assumptions!$M$34))))))</f>
        <v>0</v>
      </c>
      <c r="W9" s="19" t="n">
        <f aca="false">IF(S9="",PERCENTILE($S$6:$S$30,Assumptions!$B$36),S9)</f>
        <v>20.04</v>
      </c>
      <c r="X9" s="19" t="n">
        <f aca="false">IF(T9="",PERCENTILE($T$6:$T$30,Assumptions!$B$36),T9)</f>
        <v>20.4</v>
      </c>
      <c r="Y9" s="19" t="n">
        <f aca="false">IF(O9="",PERCENTILE($O$6:$O$30,Assumptions!$B$36),O9)</f>
        <v>51</v>
      </c>
      <c r="Z9" s="19" t="n">
        <f aca="false">W9*Assumptions!$B$16+X9*Assumptions!$B$17</f>
        <v>20.22</v>
      </c>
      <c r="AA9" s="19" t="n">
        <f aca="false">U9*Assumptions!$B$18+V9*Assumptions!$B$19</f>
        <v>20.25</v>
      </c>
      <c r="AB9" s="19" t="n">
        <f aca="false">AVERAGE(P9:R9)</f>
        <v>23.3333333333333</v>
      </c>
      <c r="AC9" s="16" t="n">
        <v>0</v>
      </c>
      <c r="AD9" s="20" t="n">
        <f aca="false">MIN(100,Z9*Assumptions!$B$11+AA9*Assumptions!$B$12+Y9*Assumptions!$B$13+AB9*Assumptions!$B$14+AC9*Assumptions!$B$20)</f>
        <v>25.6243333333333</v>
      </c>
      <c r="AE9" s="21" t="n">
        <f aca="false">MIN(1,SUMIFS(Network!$V$5:$V$14,Network!$D$5:$D$14,$A9,Network!$U$5:$U$14,1))</f>
        <v>1</v>
      </c>
      <c r="AF9" s="21" t="n">
        <f aca="false">MIN(1,SUMIFS(Network!$W$5:$W$14,Network!$D$5:$D$14,$A9,Network!$U$5:$U$14,1))</f>
        <v>1</v>
      </c>
      <c r="AG9" s="21" t="n">
        <f aca="false">MIN(1,SUMIFS(Network!$X$5:$X$14,Network!$D$5:$D$14,$A9,Network!$U$5:$U$14,1))</f>
        <v>0</v>
      </c>
      <c r="AH9" s="22" t="n">
        <f aca="false">AE9*Assumptions!$B$5+AF9*Assumptions!$B$6+AG9*Assumptions!$B$7</f>
        <v>1144</v>
      </c>
      <c r="AI9" s="23" t="n">
        <f aca="false">AH9/Assumptions!$B$8</f>
        <v>0.733333333333333</v>
      </c>
      <c r="AJ9" s="24" t="n">
        <f aca="false">AH9/52</f>
        <v>22</v>
      </c>
      <c r="AK9" s="22" t="n">
        <f aca="false">AJ9*I9</f>
        <v>176</v>
      </c>
      <c r="AL9" s="19" t="n">
        <f aca="false">MIN(100,I9/Assumptions!$B$26*100)</f>
        <v>22.2222222222222</v>
      </c>
      <c r="AM9" s="19" t="n">
        <f aca="false">MIN(100,H9/Assumptions!$B$27*100)</f>
        <v>33.3333333333333</v>
      </c>
      <c r="AN9" s="20" t="n">
        <f aca="false">AI9*100*Assumptions!$B$23+AL9*Assumptions!$B$24+AM9*Assumptions!$B$25</f>
        <v>50</v>
      </c>
      <c r="AO9" s="25" t="n">
        <f aca="false">AN9*AD9/100</f>
        <v>12.8121666666667</v>
      </c>
      <c r="AP9" s="6" t="n">
        <f aca="false">RANK(AO9,$AO$6:$AO$30)+COUNTIF($AO$6:AO9,AO9)-1</f>
        <v>20</v>
      </c>
      <c r="AQ9" s="6" t="str">
        <f aca="false">IF(AO9&gt;=Assumptions!$B$39,"Critical",IF(AO9&gt;=Assumptions!$B$40,"High",IF(AO9&gt;=Assumptions!$B$41,"Elevated","Watch")))</f>
        <v>Watch</v>
      </c>
      <c r="AR9" s="6" t="str">
        <f aca="false">IF(AND(AN9&gt;=Assumptions!$B$42,AD9&gt;=Assumptions!$B$43),"Act now",IF(AN9&gt;=Assumptions!$B$42,"Protect (structural)",IF(AD9&gt;=Assumptions!$B$43,"Remediate supplier","Routine")))</f>
        <v>Routine</v>
      </c>
      <c r="AS9" s="6" t="n">
        <f aca="false">_xlfn.MAXIFS(Network!$T$5:$T$36,Network!$D$5:$D$36,$A9)</f>
        <v>3</v>
      </c>
      <c r="AT9" s="6" t="n">
        <f aca="false">COUNT(K9:R9)</f>
        <v>8</v>
      </c>
      <c r="AU9" s="6" t="n">
        <f aca="false">IF(AT9&gt;=8,2,IF(AT9&gt;=6,1,0))</f>
        <v>2</v>
      </c>
      <c r="AV9" s="6" t="n">
        <f aca="false">IF(OR(C9=1,LEFT(G9,9)="Confirmed"),1,0)</f>
        <v>1</v>
      </c>
      <c r="AW9" s="6" t="n">
        <f aca="false">AS9+AU9+AV9</f>
        <v>6</v>
      </c>
      <c r="AX9" s="26" t="str">
        <f aca="false">IF(AW9&gt;=Assumptions!$B$44,"High",IF(AW9&gt;=Assumptions!$B$45,"Medium","Low"))</f>
        <v>High</v>
      </c>
      <c r="AY9" s="14" t="str">
        <f aca="false">IF(OR(AQ9="Critical",AQ9="High"),IF(AX9="Low","VERIFY first – urgent sub-tier fact-find",IF(OR(AQ9="Critical",AV9=1),"ACT – mitigate now","CONFIRM sole-source status, then qualify alternate")),IF(AQ9="Elevated",IF(AX9="Low","VERIFY – add to N-tier survey","PLAN – qualify alternate in 90 days"),"MONITOR – quarterly review"))</f>
        <v>MONITOR – quarterly review</v>
      </c>
      <c r="AZ9" s="14" t="str">
        <f aca="false">IF(K9&amp;L9&amp;O9&lt;&gt;"",IF(OR(K9="",L9="",O9=""),TRIM(IF(K9="","Current ratio; ","")&amp;IF(L9="","Net debt/EBITDA; ","")&amp;IF(O9="","Assurance gap","")),"—"),"Current ratio; Net debt/EBITDA; Assurance gap")</f>
        <v>—</v>
      </c>
    </row>
    <row r="10" customFormat="false" ht="23.85" hidden="false" customHeight="false" outlineLevel="0" collapsed="false">
      <c r="A10" s="6" t="s">
        <v>102</v>
      </c>
      <c r="B10" s="7" t="str">
        <f aca="false">INDEX(Data!$B$5:$B$34,MATCH($A10,Data!$A$5:$A$34,0))</f>
        <v>Estuary Thermal Systems Ltd.</v>
      </c>
      <c r="C10" s="6" t="n">
        <v>1</v>
      </c>
      <c r="D10" s="14" t="s">
        <v>103</v>
      </c>
      <c r="E10" s="7" t="str">
        <f aca="false">INDEX(Data!$G$38:$G$67,MATCH($A10,Data!$A$38:$A$67,0))</f>
        <v>SITE-046</v>
      </c>
      <c r="F10" s="7" t="str">
        <f aca="false">INDEX(Data!$I$38:$I$67,MATCH($A10,Data!$A$38:$A$67,0))</f>
        <v>Z06</v>
      </c>
      <c r="G10" s="15" t="s">
        <v>97</v>
      </c>
      <c r="H10" s="16" t="n">
        <v>1</v>
      </c>
      <c r="I10" s="17" t="n">
        <v>6</v>
      </c>
      <c r="J10" s="14" t="s">
        <v>104</v>
      </c>
      <c r="K10" s="18" t="n">
        <f aca="false">IF(INDEX(Data!$C$5:$C$34,MATCH($A10,Data!$A$5:$A$34,0))="","",INDEX(Data!$C$5:$C$34,MATCH($A10,Data!$A$5:$A$34,0)))</f>
        <v>2.53</v>
      </c>
      <c r="L10" s="18" t="n">
        <f aca="false">IF(INDEX(Data!$D$5:$D$34,MATCH($A10,Data!$A$5:$A$34,0))="","",INDEX(Data!$D$5:$D$34,MATCH($A10,Data!$A$5:$A$34,0)))</f>
        <v>2.67</v>
      </c>
      <c r="M10" s="8" t="n">
        <f aca="false">IF(INDEX(Data!$E$5:$E$34,MATCH($A10,Data!$A$5:$A$34,0))="","",INDEX(Data!$E$5:$E$34,MATCH($A10,Data!$A$5:$A$34,0)))</f>
        <v>89.7</v>
      </c>
      <c r="N10" s="8" t="n">
        <f aca="false">IF(INDEX(Data!$F$5:$F$34,MATCH($A10,Data!$A$5:$A$34,0))="","",INDEX(Data!$F$5:$F$34,MATCH($A10,Data!$A$5:$A$34,0)))</f>
        <v>1.8</v>
      </c>
      <c r="O10" s="8" t="n">
        <f aca="false">IF(INDEX(Data!$G$5:$G$34,MATCH($A10,Data!$A$5:$A$34,0))="","",INDEX(Data!$G$5:$G$34,MATCH($A10,Data!$A$5:$A$34,0)))</f>
        <v>60</v>
      </c>
      <c r="P10" s="8" t="n">
        <f aca="false">IF(INDEX(Data!$H$5:$H$34,MATCH($A10,Data!$A$5:$A$34,0))="","",INDEX(Data!$H$5:$H$34,MATCH($A10,Data!$A$5:$A$34,0)))</f>
        <v>67</v>
      </c>
      <c r="Q10" s="8" t="n">
        <f aca="false">IF(INDEX(Data!$I$5:$I$34,MATCH($A10,Data!$A$5:$A$34,0))="","",INDEX(Data!$I$5:$I$34,MATCH($A10,Data!$A$5:$A$34,0)))</f>
        <v>59</v>
      </c>
      <c r="R10" s="8" t="n">
        <f aca="false">IF(INDEX(Data!$J$5:$J$34,MATCH($A10,Data!$A$5:$A$34,0))="","",INDEX(Data!$J$5:$J$34,MATCH($A10,Data!$A$5:$A$34,0)))</f>
        <v>54</v>
      </c>
      <c r="S10" s="19" t="n">
        <f aca="false">IF(L10="","",IF(L10&lt;=Assumptions!$B$31,Assumptions!$H$31,IF(L10&lt;=Assumptions!$C$31,Assumptions!$H$31+(L10-Assumptions!$B$31)/(Assumptions!$C$31-Assumptions!$B$31)*(Assumptions!$I$31-Assumptions!$H$31),IF(L10&lt;=Assumptions!$D$31,Assumptions!$I$31+(L10-Assumptions!$C$31)/(Assumptions!$D$31-Assumptions!$C$31)*(Assumptions!$J$31-Assumptions!$I$31),IF(L10&lt;=Assumptions!$E$31,Assumptions!$J$31+(L10-Assumptions!$D$31)/(Assumptions!$E$31-Assumptions!$D$31)*(Assumptions!$K$31-Assumptions!$J$31),IF(L10&lt;=Assumptions!$F$31,Assumptions!$K$31+(L10-Assumptions!$E$31)/(Assumptions!$F$31-Assumptions!$E$31)*(Assumptions!$L$31-Assumptions!$K$31),IF(L10&lt;=Assumptions!$G$31,Assumptions!$L$31+(L10-Assumptions!$F$31)/(Assumptions!$G$31-Assumptions!$F$31)*(Assumptions!$M$31-Assumptions!$L$31),Assumptions!$M$31)))))))</f>
        <v>34.5333333333333</v>
      </c>
      <c r="T10" s="19" t="n">
        <f aca="false">IF(K10="","",IF(K10&lt;=Assumptions!$B$32,Assumptions!$H$32,IF(K10&lt;=Assumptions!$C$32,Assumptions!$H$32+(K10-Assumptions!$B$32)/(Assumptions!$C$32-Assumptions!$B$32)*(Assumptions!$I$32-Assumptions!$H$32),IF(K10&lt;=Assumptions!$D$32,Assumptions!$I$32+(K10-Assumptions!$C$32)/(Assumptions!$D$32-Assumptions!$C$32)*(Assumptions!$J$32-Assumptions!$I$32),IF(K10&lt;=Assumptions!$E$32,Assumptions!$J$32+(K10-Assumptions!$D$32)/(Assumptions!$E$32-Assumptions!$D$32)*(Assumptions!$K$32-Assumptions!$J$32),IF(K10&lt;=Assumptions!$F$32,Assumptions!$K$32+(K10-Assumptions!$E$32)/(Assumptions!$F$32-Assumptions!$E$32)*(Assumptions!$L$32-Assumptions!$K$32),IF(K10&lt;=Assumptions!$G$32,Assumptions!$L$32+(K10-Assumptions!$F$32)/(Assumptions!$G$32-Assumptions!$F$32)*(Assumptions!$M$32-Assumptions!$L$32),Assumptions!$M$32)))))))</f>
        <v>0</v>
      </c>
      <c r="U10" s="19" t="n">
        <f aca="false">IF(M10&lt;=Assumptions!$B$33,Assumptions!$H$33,IF(M10&lt;=Assumptions!$C$33,Assumptions!$H$33+(M10-Assumptions!$B$33)/(Assumptions!$C$33-Assumptions!$B$33)*(Assumptions!$I$33-Assumptions!$H$33),IF(M10&lt;=Assumptions!$D$33,Assumptions!$I$33+(M10-Assumptions!$C$33)/(Assumptions!$D$33-Assumptions!$C$33)*(Assumptions!$J$33-Assumptions!$I$33),IF(M10&lt;=Assumptions!$E$33,Assumptions!$J$33+(M10-Assumptions!$D$33)/(Assumptions!$E$33-Assumptions!$D$33)*(Assumptions!$K$33-Assumptions!$J$33),IF(M10&lt;=Assumptions!$F$33,Assumptions!$K$33+(M10-Assumptions!$E$33)/(Assumptions!$F$33-Assumptions!$E$33)*(Assumptions!$L$33-Assumptions!$K$33),IF(M10&lt;=Assumptions!$G$33,Assumptions!$L$33+(M10-Assumptions!$F$33)/(Assumptions!$G$33-Assumptions!$F$33)*(Assumptions!$M$33-Assumptions!$L$33),Assumptions!$M$33))))))</f>
        <v>26.5</v>
      </c>
      <c r="V10" s="19" t="n">
        <f aca="false">IF(N10&lt;=Assumptions!$B$34,Assumptions!$H$34,IF(N10&lt;=Assumptions!$C$34,Assumptions!$H$34+(N10-Assumptions!$B$34)/(Assumptions!$C$34-Assumptions!$B$34)*(Assumptions!$I$34-Assumptions!$H$34),IF(N10&lt;=Assumptions!$D$34,Assumptions!$I$34+(N10-Assumptions!$C$34)/(Assumptions!$D$34-Assumptions!$C$34)*(Assumptions!$J$34-Assumptions!$I$34),IF(N10&lt;=Assumptions!$E$34,Assumptions!$J$34+(N10-Assumptions!$D$34)/(Assumptions!$E$34-Assumptions!$D$34)*(Assumptions!$K$34-Assumptions!$J$34),IF(N10&lt;=Assumptions!$F$34,Assumptions!$K$34+(N10-Assumptions!$E$34)/(Assumptions!$F$34-Assumptions!$E$34)*(Assumptions!$L$34-Assumptions!$K$34),IF(N10&lt;=Assumptions!$G$34,Assumptions!$L$34+(N10-Assumptions!$F$34)/(Assumptions!$G$34-Assumptions!$F$34)*(Assumptions!$M$34-Assumptions!$L$34),Assumptions!$M$34))))))</f>
        <v>2</v>
      </c>
      <c r="W10" s="19" t="n">
        <f aca="false">IF(S10="",PERCENTILE($S$6:$S$30,Assumptions!$B$36),S10)</f>
        <v>34.5333333333333</v>
      </c>
      <c r="X10" s="19" t="n">
        <f aca="false">IF(T10="",PERCENTILE($T$6:$T$30,Assumptions!$B$36),T10)</f>
        <v>0</v>
      </c>
      <c r="Y10" s="19" t="n">
        <f aca="false">IF(O10="",PERCENTILE($O$6:$O$30,Assumptions!$B$36),O10)</f>
        <v>60</v>
      </c>
      <c r="Z10" s="19" t="n">
        <f aca="false">W10*Assumptions!$B$16+X10*Assumptions!$B$17</f>
        <v>17.2666666666667</v>
      </c>
      <c r="AA10" s="19" t="n">
        <f aca="false">U10*Assumptions!$B$18+V10*Assumptions!$B$19</f>
        <v>14.25</v>
      </c>
      <c r="AB10" s="19" t="n">
        <f aca="false">AVERAGE(P10:R10)</f>
        <v>60</v>
      </c>
      <c r="AC10" s="16" t="n">
        <v>0</v>
      </c>
      <c r="AD10" s="20" t="n">
        <f aca="false">MIN(100,Z10*Assumptions!$B$11+AA10*Assumptions!$B$12+Y10*Assumptions!$B$13+AB10*Assumptions!$B$14+AC10*Assumptions!$B$20)</f>
        <v>33.455</v>
      </c>
      <c r="AE10" s="21" t="n">
        <f aca="false">MIN(1,SUMIFS(Network!$V$5:$V$14,Network!$D$5:$D$14,$A10,Network!$U$5:$U$14,1))</f>
        <v>0</v>
      </c>
      <c r="AF10" s="21" t="n">
        <f aca="false">MIN(1,SUMIFS(Network!$W$5:$W$14,Network!$D$5:$D$14,$A10,Network!$U$5:$U$14,1))</f>
        <v>1</v>
      </c>
      <c r="AG10" s="21" t="n">
        <f aca="false">MIN(1,SUMIFS(Network!$X$5:$X$14,Network!$D$5:$D$14,$A10,Network!$U$5:$U$14,1))</f>
        <v>1</v>
      </c>
      <c r="AH10" s="22" t="n">
        <f aca="false">AE10*Assumptions!$B$5+AF10*Assumptions!$B$6+AG10*Assumptions!$B$7</f>
        <v>936</v>
      </c>
      <c r="AI10" s="23" t="n">
        <f aca="false">AH10/Assumptions!$B$8</f>
        <v>0.6</v>
      </c>
      <c r="AJ10" s="24" t="n">
        <f aca="false">AH10/52</f>
        <v>18</v>
      </c>
      <c r="AK10" s="22" t="n">
        <f aca="false">AJ10*I10</f>
        <v>108</v>
      </c>
      <c r="AL10" s="19" t="n">
        <f aca="false">MIN(100,I10/Assumptions!$B$26*100)</f>
        <v>16.6666666666667</v>
      </c>
      <c r="AM10" s="19" t="n">
        <f aca="false">MIN(100,H10/Assumptions!$B$27*100)</f>
        <v>33.3333333333333</v>
      </c>
      <c r="AN10" s="20" t="n">
        <f aca="false">AI10*100*Assumptions!$B$23+AL10*Assumptions!$B$24+AM10*Assumptions!$B$25</f>
        <v>41.6666666666667</v>
      </c>
      <c r="AO10" s="25" t="n">
        <f aca="false">AN10*AD10/100</f>
        <v>13.9395833333333</v>
      </c>
      <c r="AP10" s="6" t="n">
        <f aca="false">RANK(AO10,$AO$6:$AO$30)+COUNTIF($AO$6:AO10,AO10)-1</f>
        <v>18</v>
      </c>
      <c r="AQ10" s="6" t="str">
        <f aca="false">IF(AO10&gt;=Assumptions!$B$39,"Critical",IF(AO10&gt;=Assumptions!$B$40,"High",IF(AO10&gt;=Assumptions!$B$41,"Elevated","Watch")))</f>
        <v>Watch</v>
      </c>
      <c r="AR10" s="6" t="str">
        <f aca="false">IF(AND(AN10&gt;=Assumptions!$B$42,AD10&gt;=Assumptions!$B$43),"Act now",IF(AN10&gt;=Assumptions!$B$42,"Protect (structural)",IF(AD10&gt;=Assumptions!$B$43,"Remediate supplier","Routine")))</f>
        <v>Routine</v>
      </c>
      <c r="AS10" s="6" t="n">
        <f aca="false">_xlfn.MAXIFS(Network!$T$5:$T$36,Network!$D$5:$D$36,$A10)</f>
        <v>3</v>
      </c>
      <c r="AT10" s="6" t="n">
        <f aca="false">COUNT(K10:R10)</f>
        <v>8</v>
      </c>
      <c r="AU10" s="6" t="n">
        <f aca="false">IF(AT10&gt;=8,2,IF(AT10&gt;=6,1,0))</f>
        <v>2</v>
      </c>
      <c r="AV10" s="6" t="n">
        <f aca="false">IF(OR(C10=1,LEFT(G10,9)="Confirmed"),1,0)</f>
        <v>1</v>
      </c>
      <c r="AW10" s="6" t="n">
        <f aca="false">AS10+AU10+AV10</f>
        <v>6</v>
      </c>
      <c r="AX10" s="26" t="str">
        <f aca="false">IF(AW10&gt;=Assumptions!$B$44,"High",IF(AW10&gt;=Assumptions!$B$45,"Medium","Low"))</f>
        <v>High</v>
      </c>
      <c r="AY10" s="14" t="str">
        <f aca="false">IF(OR(AQ10="Critical",AQ10="High"),IF(AX10="Low","VERIFY first – urgent sub-tier fact-find",IF(OR(AQ10="Critical",AV10=1),"ACT – mitigate now","CONFIRM sole-source status, then qualify alternate")),IF(AQ10="Elevated",IF(AX10="Low","VERIFY – add to N-tier survey","PLAN – qualify alternate in 90 days"),"MONITOR – quarterly review"))</f>
        <v>MONITOR – quarterly review</v>
      </c>
      <c r="AZ10" s="14" t="str">
        <f aca="false">IF(K10&amp;L10&amp;O10&lt;&gt;"",IF(OR(K10="",L10="",O10=""),TRIM(IF(K10="","Current ratio; ","")&amp;IF(L10="","Net debt/EBITDA; ","")&amp;IF(O10="","Assurance gap","")),"—"),"Current ratio; Net debt/EBITDA; Assurance gap")</f>
        <v>—</v>
      </c>
    </row>
    <row r="11" customFormat="false" ht="23.85" hidden="false" customHeight="false" outlineLevel="0" collapsed="false">
      <c r="A11" s="6" t="s">
        <v>105</v>
      </c>
      <c r="B11" s="7" t="str">
        <f aca="false">INDEX(Data!$B$5:$B$34,MATCH($A11,Data!$A$5:$A$34,0))</f>
        <v>ForgeLine Enclosures Ltd.</v>
      </c>
      <c r="C11" s="6" t="n">
        <v>1</v>
      </c>
      <c r="D11" s="14" t="s">
        <v>106</v>
      </c>
      <c r="E11" s="7" t="str">
        <f aca="false">INDEX(Data!$G$38:$G$67,MATCH($A11,Data!$A$38:$A$67,0))</f>
        <v>SITE-053</v>
      </c>
      <c r="F11" s="7" t="str">
        <f aca="false">INDEX(Data!$I$38:$I$67,MATCH($A11,Data!$A$38:$A$67,0))</f>
        <v>Z02</v>
      </c>
      <c r="G11" s="15" t="s">
        <v>97</v>
      </c>
      <c r="H11" s="16" t="n">
        <v>1</v>
      </c>
      <c r="I11" s="17" t="n">
        <v>4</v>
      </c>
      <c r="J11" s="14" t="s">
        <v>107</v>
      </c>
      <c r="K11" s="18" t="n">
        <f aca="false">IF(INDEX(Data!$C$5:$C$34,MATCH($A11,Data!$A$5:$A$34,0))="","",INDEX(Data!$C$5:$C$34,MATCH($A11,Data!$A$5:$A$34,0)))</f>
        <v>1.94</v>
      </c>
      <c r="L11" s="18" t="n">
        <f aca="false">IF(INDEX(Data!$D$5:$D$34,MATCH($A11,Data!$A$5:$A$34,0))="","",INDEX(Data!$D$5:$D$34,MATCH($A11,Data!$A$5:$A$34,0)))</f>
        <v>3.67</v>
      </c>
      <c r="M11" s="8" t="n">
        <f aca="false">IF(INDEX(Data!$E$5:$E$34,MATCH($A11,Data!$A$5:$A$34,0))="","",INDEX(Data!$E$5:$E$34,MATCH($A11,Data!$A$5:$A$34,0)))</f>
        <v>89.8</v>
      </c>
      <c r="N11" s="8" t="n">
        <f aca="false">IF(INDEX(Data!$F$5:$F$34,MATCH($A11,Data!$A$5:$A$34,0))="","",INDEX(Data!$F$5:$F$34,MATCH($A11,Data!$A$5:$A$34,0)))</f>
        <v>-0.3</v>
      </c>
      <c r="O11" s="8" t="n">
        <f aca="false">IF(INDEX(Data!$G$5:$G$34,MATCH($A11,Data!$A$5:$A$34,0))="","",INDEX(Data!$G$5:$G$34,MATCH($A11,Data!$A$5:$A$34,0)))</f>
        <v>69</v>
      </c>
      <c r="P11" s="8" t="n">
        <f aca="false">IF(INDEX(Data!$H$5:$H$34,MATCH($A11,Data!$A$5:$A$34,0))="","",INDEX(Data!$H$5:$H$34,MATCH($A11,Data!$A$5:$A$34,0)))</f>
        <v>27</v>
      </c>
      <c r="Q11" s="8" t="n">
        <f aca="false">IF(INDEX(Data!$I$5:$I$34,MATCH($A11,Data!$A$5:$A$34,0))="","",INDEX(Data!$I$5:$I$34,MATCH($A11,Data!$A$5:$A$34,0)))</f>
        <v>30</v>
      </c>
      <c r="R11" s="8" t="n">
        <f aca="false">IF(INDEX(Data!$J$5:$J$34,MATCH($A11,Data!$A$5:$A$34,0))="","",INDEX(Data!$J$5:$J$34,MATCH($A11,Data!$A$5:$A$34,0)))</f>
        <v>24</v>
      </c>
      <c r="S11" s="19" t="n">
        <f aca="false">IF(L11="","",IF(L11&lt;=Assumptions!$B$31,Assumptions!$H$31,IF(L11&lt;=Assumptions!$C$31,Assumptions!$H$31+(L11-Assumptions!$B$31)/(Assumptions!$C$31-Assumptions!$B$31)*(Assumptions!$I$31-Assumptions!$H$31),IF(L11&lt;=Assumptions!$D$31,Assumptions!$I$31+(L11-Assumptions!$C$31)/(Assumptions!$D$31-Assumptions!$C$31)*(Assumptions!$J$31-Assumptions!$I$31),IF(L11&lt;=Assumptions!$E$31,Assumptions!$J$31+(L11-Assumptions!$D$31)/(Assumptions!$E$31-Assumptions!$D$31)*(Assumptions!$K$31-Assumptions!$J$31),IF(L11&lt;=Assumptions!$F$31,Assumptions!$K$31+(L11-Assumptions!$E$31)/(Assumptions!$F$31-Assumptions!$E$31)*(Assumptions!$L$31-Assumptions!$K$31),IF(L11&lt;=Assumptions!$G$31,Assumptions!$L$31+(L11-Assumptions!$F$31)/(Assumptions!$G$31-Assumptions!$F$31)*(Assumptions!$M$31-Assumptions!$L$31),Assumptions!$M$31)))))))</f>
        <v>61.2</v>
      </c>
      <c r="T11" s="19" t="n">
        <f aca="false">IF(K11="","",IF(K11&lt;=Assumptions!$B$32,Assumptions!$H$32,IF(K11&lt;=Assumptions!$C$32,Assumptions!$H$32+(K11-Assumptions!$B$32)/(Assumptions!$C$32-Assumptions!$B$32)*(Assumptions!$I$32-Assumptions!$H$32),IF(K11&lt;=Assumptions!$D$32,Assumptions!$I$32+(K11-Assumptions!$C$32)/(Assumptions!$D$32-Assumptions!$C$32)*(Assumptions!$J$32-Assumptions!$I$32),IF(K11&lt;=Assumptions!$E$32,Assumptions!$J$32+(K11-Assumptions!$D$32)/(Assumptions!$E$32-Assumptions!$D$32)*(Assumptions!$K$32-Assumptions!$J$32),IF(K11&lt;=Assumptions!$F$32,Assumptions!$K$32+(K11-Assumptions!$E$32)/(Assumptions!$F$32-Assumptions!$E$32)*(Assumptions!$L$32-Assumptions!$K$32),IF(K11&lt;=Assumptions!$G$32,Assumptions!$L$32+(K11-Assumptions!$F$32)/(Assumptions!$G$32-Assumptions!$F$32)*(Assumptions!$M$32-Assumptions!$L$32),Assumptions!$M$32)))))))</f>
        <v>16.8</v>
      </c>
      <c r="U11" s="19" t="n">
        <f aca="false">IF(M11&lt;=Assumptions!$B$33,Assumptions!$H$33,IF(M11&lt;=Assumptions!$C$33,Assumptions!$H$33+(M11-Assumptions!$B$33)/(Assumptions!$C$33-Assumptions!$B$33)*(Assumptions!$I$33-Assumptions!$H$33),IF(M11&lt;=Assumptions!$D$33,Assumptions!$I$33+(M11-Assumptions!$C$33)/(Assumptions!$D$33-Assumptions!$C$33)*(Assumptions!$J$33-Assumptions!$I$33),IF(M11&lt;=Assumptions!$E$33,Assumptions!$J$33+(M11-Assumptions!$D$33)/(Assumptions!$E$33-Assumptions!$D$33)*(Assumptions!$K$33-Assumptions!$J$33),IF(M11&lt;=Assumptions!$F$33,Assumptions!$K$33+(M11-Assumptions!$E$33)/(Assumptions!$F$33-Assumptions!$E$33)*(Assumptions!$L$33-Assumptions!$K$33),IF(M11&lt;=Assumptions!$G$33,Assumptions!$L$33+(M11-Assumptions!$F$33)/(Assumptions!$G$33-Assumptions!$F$33)*(Assumptions!$M$33-Assumptions!$L$33),Assumptions!$M$33))))))</f>
        <v>26</v>
      </c>
      <c r="V11" s="19" t="n">
        <f aca="false">IF(N11&lt;=Assumptions!$B$34,Assumptions!$H$34,IF(N11&lt;=Assumptions!$C$34,Assumptions!$H$34+(N11-Assumptions!$B$34)/(Assumptions!$C$34-Assumptions!$B$34)*(Assumptions!$I$34-Assumptions!$H$34),IF(N11&lt;=Assumptions!$D$34,Assumptions!$I$34+(N11-Assumptions!$C$34)/(Assumptions!$D$34-Assumptions!$C$34)*(Assumptions!$J$34-Assumptions!$I$34),IF(N11&lt;=Assumptions!$E$34,Assumptions!$J$34+(N11-Assumptions!$D$34)/(Assumptions!$E$34-Assumptions!$D$34)*(Assumptions!$K$34-Assumptions!$J$34),IF(N11&lt;=Assumptions!$F$34,Assumptions!$K$34+(N11-Assumptions!$E$34)/(Assumptions!$F$34-Assumptions!$E$34)*(Assumptions!$L$34-Assumptions!$K$34),IF(N11&lt;=Assumptions!$G$34,Assumptions!$L$34+(N11-Assumptions!$F$34)/(Assumptions!$G$34-Assumptions!$F$34)*(Assumptions!$M$34-Assumptions!$L$34),Assumptions!$M$34))))))</f>
        <v>22.25</v>
      </c>
      <c r="W11" s="19" t="n">
        <f aca="false">IF(S11="",PERCENTILE($S$6:$S$30,Assumptions!$B$36),S11)</f>
        <v>61.2</v>
      </c>
      <c r="X11" s="19" t="n">
        <f aca="false">IF(T11="",PERCENTILE($T$6:$T$30,Assumptions!$B$36),T11)</f>
        <v>16.8</v>
      </c>
      <c r="Y11" s="19" t="n">
        <f aca="false">IF(O11="",PERCENTILE($O$6:$O$30,Assumptions!$B$36),O11)</f>
        <v>69</v>
      </c>
      <c r="Z11" s="19" t="n">
        <f aca="false">W11*Assumptions!$B$16+X11*Assumptions!$B$17</f>
        <v>39</v>
      </c>
      <c r="AA11" s="19" t="n">
        <f aca="false">U11*Assumptions!$B$18+V11*Assumptions!$B$19</f>
        <v>24.125</v>
      </c>
      <c r="AB11" s="19" t="n">
        <f aca="false">AVERAGE(P11:R11)</f>
        <v>27</v>
      </c>
      <c r="AC11" s="16" t="n">
        <v>0</v>
      </c>
      <c r="AD11" s="20" t="n">
        <f aca="false">MIN(100,Z11*Assumptions!$B$11+AA11*Assumptions!$B$12+Y11*Assumptions!$B$13+AB11*Assumptions!$B$14+AC11*Assumptions!$B$20)</f>
        <v>36.0375</v>
      </c>
      <c r="AE11" s="21" t="n">
        <f aca="false">MIN(1,SUMIFS(Network!$V$5:$V$14,Network!$D$5:$D$14,$A11,Network!$U$5:$U$14,1))</f>
        <v>1</v>
      </c>
      <c r="AF11" s="21" t="n">
        <f aca="false">MIN(1,SUMIFS(Network!$W$5:$W$14,Network!$D$5:$D$14,$A11,Network!$U$5:$U$14,1))</f>
        <v>0</v>
      </c>
      <c r="AG11" s="21" t="n">
        <f aca="false">MIN(1,SUMIFS(Network!$X$5:$X$14,Network!$D$5:$D$14,$A11,Network!$U$5:$U$14,1))</f>
        <v>0</v>
      </c>
      <c r="AH11" s="22" t="n">
        <f aca="false">AE11*Assumptions!$B$5+AF11*Assumptions!$B$6+AG11*Assumptions!$B$7</f>
        <v>624</v>
      </c>
      <c r="AI11" s="23" t="n">
        <f aca="false">AH11/Assumptions!$B$8</f>
        <v>0.4</v>
      </c>
      <c r="AJ11" s="24" t="n">
        <f aca="false">AH11/52</f>
        <v>12</v>
      </c>
      <c r="AK11" s="22" t="n">
        <f aca="false">AJ11*I11</f>
        <v>48</v>
      </c>
      <c r="AL11" s="19" t="n">
        <f aca="false">MIN(100,I11/Assumptions!$B$26*100)</f>
        <v>11.1111111111111</v>
      </c>
      <c r="AM11" s="19" t="n">
        <f aca="false">MIN(100,H11/Assumptions!$B$27*100)</f>
        <v>33.3333333333333</v>
      </c>
      <c r="AN11" s="20" t="n">
        <f aca="false">AI11*100*Assumptions!$B$23+AL11*Assumptions!$B$24+AM11*Assumptions!$B$25</f>
        <v>30</v>
      </c>
      <c r="AO11" s="25" t="n">
        <f aca="false">AN11*AD11/100</f>
        <v>10.81125</v>
      </c>
      <c r="AP11" s="6" t="n">
        <f aca="false">RANK(AO11,$AO$6:$AO$30)+COUNTIF($AO$6:AO11,AO11)-1</f>
        <v>23</v>
      </c>
      <c r="AQ11" s="6" t="str">
        <f aca="false">IF(AO11&gt;=Assumptions!$B$39,"Critical",IF(AO11&gt;=Assumptions!$B$40,"High",IF(AO11&gt;=Assumptions!$B$41,"Elevated","Watch")))</f>
        <v>Watch</v>
      </c>
      <c r="AR11" s="6" t="str">
        <f aca="false">IF(AND(AN11&gt;=Assumptions!$B$42,AD11&gt;=Assumptions!$B$43),"Act now",IF(AN11&gt;=Assumptions!$B$42,"Protect (structural)",IF(AD11&gt;=Assumptions!$B$43,"Remediate supplier","Routine")))</f>
        <v>Routine</v>
      </c>
      <c r="AS11" s="6" t="n">
        <f aca="false">_xlfn.MAXIFS(Network!$T$5:$T$36,Network!$D$5:$D$36,$A11)</f>
        <v>3</v>
      </c>
      <c r="AT11" s="6" t="n">
        <f aca="false">COUNT(K11:R11)</f>
        <v>8</v>
      </c>
      <c r="AU11" s="6" t="n">
        <f aca="false">IF(AT11&gt;=8,2,IF(AT11&gt;=6,1,0))</f>
        <v>2</v>
      </c>
      <c r="AV11" s="6" t="n">
        <f aca="false">IF(OR(C11=1,LEFT(G11,9)="Confirmed"),1,0)</f>
        <v>1</v>
      </c>
      <c r="AW11" s="6" t="n">
        <f aca="false">AS11+AU11+AV11</f>
        <v>6</v>
      </c>
      <c r="AX11" s="26" t="str">
        <f aca="false">IF(AW11&gt;=Assumptions!$B$44,"High",IF(AW11&gt;=Assumptions!$B$45,"Medium","Low"))</f>
        <v>High</v>
      </c>
      <c r="AY11" s="14" t="str">
        <f aca="false">IF(OR(AQ11="Critical",AQ11="High"),IF(AX11="Low","VERIFY first – urgent sub-tier fact-find",IF(OR(AQ11="Critical",AV11=1),"ACT – mitigate now","CONFIRM sole-source status, then qualify alternate")),IF(AQ11="Elevated",IF(AX11="Low","VERIFY – add to N-tier survey","PLAN – qualify alternate in 90 days"),"MONITOR – quarterly review"))</f>
        <v>MONITOR – quarterly review</v>
      </c>
      <c r="AZ11" s="14" t="str">
        <f aca="false">IF(K11&amp;L11&amp;O11&lt;&gt;"",IF(OR(K11="",L11="",O11=""),TRIM(IF(K11="","Current ratio; ","")&amp;IF(L11="","Net debt/EBITDA; ","")&amp;IF(O11="","Assurance gap","")),"—"),"Current ratio; Net debt/EBITDA; Assurance gap")</f>
        <v>—</v>
      </c>
    </row>
    <row r="12" customFormat="false" ht="15" hidden="false" customHeight="false" outlineLevel="0" collapsed="false">
      <c r="A12" s="6" t="s">
        <v>108</v>
      </c>
      <c r="B12" s="7" t="str">
        <f aca="false">INDEX(Data!$B$5:$B$34,MATCH($A12,Data!$A$5:$A$34,0))</f>
        <v>Grove Battery Controls Ltd.</v>
      </c>
      <c r="C12" s="6" t="n">
        <v>1</v>
      </c>
      <c r="D12" s="14" t="s">
        <v>109</v>
      </c>
      <c r="E12" s="7" t="str">
        <f aca="false">INDEX(Data!$G$38:$G$67,MATCH($A12,Data!$A$38:$A$67,0))</f>
        <v>SITE-060</v>
      </c>
      <c r="F12" s="7" t="str">
        <f aca="false">INDEX(Data!$I$38:$I$67,MATCH($A12,Data!$A$38:$A$67,0))</f>
        <v>Z04</v>
      </c>
      <c r="G12" s="15" t="s">
        <v>110</v>
      </c>
      <c r="H12" s="16" t="n">
        <v>1</v>
      </c>
      <c r="I12" s="17" t="n">
        <v>12</v>
      </c>
      <c r="J12" s="14" t="s">
        <v>111</v>
      </c>
      <c r="K12" s="18" t="n">
        <f aca="false">IF(INDEX(Data!$C$5:$C$34,MATCH($A12,Data!$A$5:$A$34,0))="","",INDEX(Data!$C$5:$C$34,MATCH($A12,Data!$A$5:$A$34,0)))</f>
        <v>1.51</v>
      </c>
      <c r="L12" s="18" t="n">
        <f aca="false">IF(INDEX(Data!$D$5:$D$34,MATCH($A12,Data!$A$5:$A$34,0))="","",INDEX(Data!$D$5:$D$34,MATCH($A12,Data!$A$5:$A$34,0)))</f>
        <v>1.33</v>
      </c>
      <c r="M12" s="8" t="n">
        <f aca="false">IF(INDEX(Data!$E$5:$E$34,MATCH($A12,Data!$A$5:$A$34,0))="","",INDEX(Data!$E$5:$E$34,MATCH($A12,Data!$A$5:$A$34,0)))</f>
        <v>78.8</v>
      </c>
      <c r="N12" s="8" t="n">
        <f aca="false">IF(INDEX(Data!$F$5:$F$34,MATCH($A12,Data!$A$5:$A$34,0))="","",INDEX(Data!$F$5:$F$34,MATCH($A12,Data!$A$5:$A$34,0)))</f>
        <v>-0.9</v>
      </c>
      <c r="O12" s="8" t="n">
        <f aca="false">IF(INDEX(Data!$G$5:$G$34,MATCH($A12,Data!$A$5:$A$34,0))="","",INDEX(Data!$G$5:$G$34,MATCH($A12,Data!$A$5:$A$34,0)))</f>
        <v>18</v>
      </c>
      <c r="P12" s="8" t="n">
        <f aca="false">IF(INDEX(Data!$H$5:$H$34,MATCH($A12,Data!$A$5:$A$34,0))="","",INDEX(Data!$H$5:$H$34,MATCH($A12,Data!$A$5:$A$34,0)))</f>
        <v>58</v>
      </c>
      <c r="Q12" s="8" t="n">
        <f aca="false">IF(INDEX(Data!$I$5:$I$34,MATCH($A12,Data!$A$5:$A$34,0))="","",INDEX(Data!$I$5:$I$34,MATCH($A12,Data!$A$5:$A$34,0)))</f>
        <v>62</v>
      </c>
      <c r="R12" s="8" t="n">
        <f aca="false">IF(INDEX(Data!$J$5:$J$34,MATCH($A12,Data!$A$5:$A$34,0))="","",INDEX(Data!$J$5:$J$34,MATCH($A12,Data!$A$5:$A$34,0)))</f>
        <v>52</v>
      </c>
      <c r="S12" s="19" t="n">
        <f aca="false">IF(L12="","",IF(L12&lt;=Assumptions!$B$31,Assumptions!$H$31,IF(L12&lt;=Assumptions!$C$31,Assumptions!$H$31+(L12-Assumptions!$B$31)/(Assumptions!$C$31-Assumptions!$B$31)*(Assumptions!$I$31-Assumptions!$H$31),IF(L12&lt;=Assumptions!$D$31,Assumptions!$I$31+(L12-Assumptions!$C$31)/(Assumptions!$D$31-Assumptions!$C$31)*(Assumptions!$J$31-Assumptions!$I$31),IF(L12&lt;=Assumptions!$E$31,Assumptions!$J$31+(L12-Assumptions!$D$31)/(Assumptions!$E$31-Assumptions!$D$31)*(Assumptions!$K$31-Assumptions!$J$31),IF(L12&lt;=Assumptions!$F$31,Assumptions!$K$31+(L12-Assumptions!$E$31)/(Assumptions!$F$31-Assumptions!$E$31)*(Assumptions!$L$31-Assumptions!$K$31),IF(L12&lt;=Assumptions!$G$31,Assumptions!$L$31+(L12-Assumptions!$F$31)/(Assumptions!$G$31-Assumptions!$F$31)*(Assumptions!$M$31-Assumptions!$L$31),Assumptions!$M$31)))))))</f>
        <v>15.96</v>
      </c>
      <c r="T12" s="19" t="n">
        <f aca="false">IF(K12="","",IF(K12&lt;=Assumptions!$B$32,Assumptions!$H$32,IF(K12&lt;=Assumptions!$C$32,Assumptions!$H$32+(K12-Assumptions!$B$32)/(Assumptions!$C$32-Assumptions!$B$32)*(Assumptions!$I$32-Assumptions!$H$32),IF(K12&lt;=Assumptions!$D$32,Assumptions!$I$32+(K12-Assumptions!$C$32)/(Assumptions!$D$32-Assumptions!$C$32)*(Assumptions!$J$32-Assumptions!$I$32),IF(K12&lt;=Assumptions!$E$32,Assumptions!$J$32+(K12-Assumptions!$D$32)/(Assumptions!$E$32-Assumptions!$D$32)*(Assumptions!$K$32-Assumptions!$J$32),IF(K12&lt;=Assumptions!$F$32,Assumptions!$K$32+(K12-Assumptions!$E$32)/(Assumptions!$F$32-Assumptions!$E$32)*(Assumptions!$L$32-Assumptions!$K$32),IF(K12&lt;=Assumptions!$G$32,Assumptions!$L$32+(K12-Assumptions!$F$32)/(Assumptions!$G$32-Assumptions!$F$32)*(Assumptions!$M$32-Assumptions!$L$32),Assumptions!$M$32)))))))</f>
        <v>29.7</v>
      </c>
      <c r="U12" s="19" t="n">
        <f aca="false">IF(M12&lt;=Assumptions!$B$33,Assumptions!$H$33,IF(M12&lt;=Assumptions!$C$33,Assumptions!$H$33+(M12-Assumptions!$B$33)/(Assumptions!$C$33-Assumptions!$B$33)*(Assumptions!$I$33-Assumptions!$H$33),IF(M12&lt;=Assumptions!$D$33,Assumptions!$I$33+(M12-Assumptions!$C$33)/(Assumptions!$D$33-Assumptions!$C$33)*(Assumptions!$J$33-Assumptions!$I$33),IF(M12&lt;=Assumptions!$E$33,Assumptions!$J$33+(M12-Assumptions!$D$33)/(Assumptions!$E$33-Assumptions!$D$33)*(Assumptions!$K$33-Assumptions!$J$33),IF(M12&lt;=Assumptions!$F$33,Assumptions!$K$33+(M12-Assumptions!$E$33)/(Assumptions!$F$33-Assumptions!$E$33)*(Assumptions!$L$33-Assumptions!$K$33),IF(M12&lt;=Assumptions!$G$33,Assumptions!$L$33+(M12-Assumptions!$F$33)/(Assumptions!$G$33-Assumptions!$F$33)*(Assumptions!$M$33-Assumptions!$L$33),Assumptions!$M$33))))))</f>
        <v>81</v>
      </c>
      <c r="V12" s="19" t="n">
        <f aca="false">IF(N12&lt;=Assumptions!$B$34,Assumptions!$H$34,IF(N12&lt;=Assumptions!$C$34,Assumptions!$H$34+(N12-Assumptions!$B$34)/(Assumptions!$C$34-Assumptions!$B$34)*(Assumptions!$I$34-Assumptions!$H$34),IF(N12&lt;=Assumptions!$D$34,Assumptions!$I$34+(N12-Assumptions!$C$34)/(Assumptions!$D$34-Assumptions!$C$34)*(Assumptions!$J$34-Assumptions!$I$34),IF(N12&lt;=Assumptions!$E$34,Assumptions!$J$34+(N12-Assumptions!$D$34)/(Assumptions!$E$34-Assumptions!$D$34)*(Assumptions!$K$34-Assumptions!$J$34),IF(N12&lt;=Assumptions!$F$34,Assumptions!$K$34+(N12-Assumptions!$E$34)/(Assumptions!$F$34-Assumptions!$E$34)*(Assumptions!$L$34-Assumptions!$K$34),IF(N12&lt;=Assumptions!$G$34,Assumptions!$L$34+(N12-Assumptions!$F$34)/(Assumptions!$G$34-Assumptions!$F$34)*(Assumptions!$M$34-Assumptions!$L$34),Assumptions!$M$34))))))</f>
        <v>26.75</v>
      </c>
      <c r="W12" s="19" t="n">
        <f aca="false">IF(S12="",PERCENTILE($S$6:$S$30,Assumptions!$B$36),S12)</f>
        <v>15.96</v>
      </c>
      <c r="X12" s="19" t="n">
        <f aca="false">IF(T12="",PERCENTILE($T$6:$T$30,Assumptions!$B$36),T12)</f>
        <v>29.7</v>
      </c>
      <c r="Y12" s="19" t="n">
        <f aca="false">IF(O12="",PERCENTILE($O$6:$O$30,Assumptions!$B$36),O12)</f>
        <v>18</v>
      </c>
      <c r="Z12" s="19" t="n">
        <f aca="false">W12*Assumptions!$B$16+X12*Assumptions!$B$17</f>
        <v>22.83</v>
      </c>
      <c r="AA12" s="19" t="n">
        <f aca="false">U12*Assumptions!$B$18+V12*Assumptions!$B$19</f>
        <v>53.875</v>
      </c>
      <c r="AB12" s="19" t="n">
        <f aca="false">AVERAGE(P12:R12)</f>
        <v>57.3333333333333</v>
      </c>
      <c r="AC12" s="16" t="n">
        <v>0</v>
      </c>
      <c r="AD12" s="20" t="n">
        <f aca="false">MIN(100,Z12*Assumptions!$B$11+AA12*Assumptions!$B$12+Y12*Assumptions!$B$13+AB12*Assumptions!$B$14+AC12*Assumptions!$B$20)</f>
        <v>40.0448333333333</v>
      </c>
      <c r="AE12" s="21" t="n">
        <f aca="false">MIN(1,SUMIFS(Network!$V$5:$V$14,Network!$D$5:$D$14,$A12,Network!$U$5:$U$14,1))</f>
        <v>0</v>
      </c>
      <c r="AF12" s="21" t="n">
        <f aca="false">MIN(1,SUMIFS(Network!$W$5:$W$14,Network!$D$5:$D$14,$A12,Network!$U$5:$U$14,1))</f>
        <v>0</v>
      </c>
      <c r="AG12" s="21" t="n">
        <f aca="false">MIN(1,SUMIFS(Network!$X$5:$X$14,Network!$D$5:$D$14,$A12,Network!$U$5:$U$14,1))</f>
        <v>0.8</v>
      </c>
      <c r="AH12" s="22" t="n">
        <f aca="false">AE12*Assumptions!$B$5+AF12*Assumptions!$B$6+AG12*Assumptions!$B$7</f>
        <v>332.8</v>
      </c>
      <c r="AI12" s="23" t="n">
        <f aca="false">AH12/Assumptions!$B$8</f>
        <v>0.213333333333333</v>
      </c>
      <c r="AJ12" s="24" t="n">
        <f aca="false">AH12/52</f>
        <v>6.4</v>
      </c>
      <c r="AK12" s="22" t="n">
        <f aca="false">AJ12*I12</f>
        <v>76.8</v>
      </c>
      <c r="AL12" s="19" t="n">
        <f aca="false">MIN(100,I12/Assumptions!$B$26*100)</f>
        <v>33.3333333333333</v>
      </c>
      <c r="AM12" s="19" t="n">
        <f aca="false">MIN(100,H12/Assumptions!$B$27*100)</f>
        <v>33.3333333333333</v>
      </c>
      <c r="AN12" s="20" t="n">
        <f aca="false">AI12*100*Assumptions!$B$23+AL12*Assumptions!$B$24+AM12*Assumptions!$B$25</f>
        <v>27.3333333333333</v>
      </c>
      <c r="AO12" s="25" t="n">
        <f aca="false">AN12*AD12/100</f>
        <v>10.9455877777778</v>
      </c>
      <c r="AP12" s="6" t="n">
        <f aca="false">RANK(AO12,$AO$6:$AO$30)+COUNTIF($AO$6:AO12,AO12)-1</f>
        <v>22</v>
      </c>
      <c r="AQ12" s="6" t="str">
        <f aca="false">IF(AO12&gt;=Assumptions!$B$39,"Critical",IF(AO12&gt;=Assumptions!$B$40,"High",IF(AO12&gt;=Assumptions!$B$41,"Elevated","Watch")))</f>
        <v>Watch</v>
      </c>
      <c r="AR12" s="6" t="str">
        <f aca="false">IF(AND(AN12&gt;=Assumptions!$B$42,AD12&gt;=Assumptions!$B$43),"Act now",IF(AN12&gt;=Assumptions!$B$42,"Protect (structural)",IF(AD12&gt;=Assumptions!$B$43,"Remediate supplier","Routine")))</f>
        <v>Routine</v>
      </c>
      <c r="AS12" s="6" t="n">
        <f aca="false">_xlfn.MAXIFS(Network!$T$5:$T$36,Network!$D$5:$D$36,$A12)</f>
        <v>3</v>
      </c>
      <c r="AT12" s="6" t="n">
        <f aca="false">COUNT(K12:R12)</f>
        <v>8</v>
      </c>
      <c r="AU12" s="6" t="n">
        <f aca="false">IF(AT12&gt;=8,2,IF(AT12&gt;=6,1,0))</f>
        <v>2</v>
      </c>
      <c r="AV12" s="6" t="n">
        <f aca="false">IF(OR(C12=1,LEFT(G12,9)="Confirmed"),1,0)</f>
        <v>1</v>
      </c>
      <c r="AW12" s="6" t="n">
        <f aca="false">AS12+AU12+AV12</f>
        <v>6</v>
      </c>
      <c r="AX12" s="26" t="str">
        <f aca="false">IF(AW12&gt;=Assumptions!$B$44,"High",IF(AW12&gt;=Assumptions!$B$45,"Medium","Low"))</f>
        <v>High</v>
      </c>
      <c r="AY12" s="14" t="str">
        <f aca="false">IF(OR(AQ12="Critical",AQ12="High"),IF(AX12="Low","VERIFY first – urgent sub-tier fact-find",IF(OR(AQ12="Critical",AV12=1),"ACT – mitigate now","CONFIRM sole-source status, then qualify alternate")),IF(AQ12="Elevated",IF(AX12="Low","VERIFY – add to N-tier survey","PLAN – qualify alternate in 90 days"),"MONITOR – quarterly review"))</f>
        <v>MONITOR – quarterly review</v>
      </c>
      <c r="AZ12" s="14" t="str">
        <f aca="false">IF(K12&amp;L12&amp;O12&lt;&gt;"",IF(OR(K12="",L12="",O12=""),TRIM(IF(K12="","Current ratio; ","")&amp;IF(L12="","Net debt/EBITDA; ","")&amp;IF(O12="","Assurance gap","")),"—"),"Current ratio; Net debt/EBITDA; Assurance gap")</f>
        <v>—</v>
      </c>
    </row>
    <row r="13" customFormat="false" ht="15" hidden="false" customHeight="false" outlineLevel="0" collapsed="false">
      <c r="A13" s="6" t="s">
        <v>112</v>
      </c>
      <c r="B13" s="7" t="str">
        <f aca="false">INDEX(Data!$B$5:$B$34,MATCH($A13,Data!$A$5:$A$34,0))</f>
        <v>HarborSense Electronics Ltd.</v>
      </c>
      <c r="C13" s="6" t="n">
        <v>1</v>
      </c>
      <c r="D13" s="14" t="s">
        <v>113</v>
      </c>
      <c r="E13" s="7" t="str">
        <f aca="false">INDEX(Data!$G$38:$G$67,MATCH($A13,Data!$A$38:$A$67,0))</f>
        <v>SITE-067</v>
      </c>
      <c r="F13" s="7" t="str">
        <f aca="false">INDEX(Data!$I$38:$I$67,MATCH($A13,Data!$A$38:$A$67,0))</f>
        <v>Z05</v>
      </c>
      <c r="G13" s="15" t="s">
        <v>114</v>
      </c>
      <c r="H13" s="16" t="n">
        <v>1</v>
      </c>
      <c r="I13" s="17" t="n">
        <v>12</v>
      </c>
      <c r="J13" s="14" t="s">
        <v>111</v>
      </c>
      <c r="K13" s="18" t="n">
        <f aca="false">IF(INDEX(Data!$C$5:$C$34,MATCH($A13,Data!$A$5:$A$34,0))="","",INDEX(Data!$C$5:$C$34,MATCH($A13,Data!$A$5:$A$34,0)))</f>
        <v>2.24</v>
      </c>
      <c r="L13" s="18" t="n">
        <f aca="false">IF(INDEX(Data!$D$5:$D$34,MATCH($A13,Data!$A$5:$A$34,0))="","",INDEX(Data!$D$5:$D$34,MATCH($A13,Data!$A$5:$A$34,0)))</f>
        <v>2.33</v>
      </c>
      <c r="M13" s="8" t="n">
        <f aca="false">IF(INDEX(Data!$E$5:$E$34,MATCH($A13,Data!$A$5:$A$34,0))="","",INDEX(Data!$E$5:$E$34,MATCH($A13,Data!$A$5:$A$34,0)))</f>
        <v>81.9</v>
      </c>
      <c r="N13" s="8" t="n">
        <f aca="false">IF(INDEX(Data!$F$5:$F$34,MATCH($A13,Data!$A$5:$A$34,0))="","",INDEX(Data!$F$5:$F$34,MATCH($A13,Data!$A$5:$A$34,0)))</f>
        <v>-0.9</v>
      </c>
      <c r="O13" s="8" t="n">
        <f aca="false">IF(INDEX(Data!$G$5:$G$34,MATCH($A13,Data!$A$5:$A$34,0))="","",INDEX(Data!$G$5:$G$34,MATCH($A13,Data!$A$5:$A$34,0)))</f>
        <v>27</v>
      </c>
      <c r="P13" s="8" t="n">
        <f aca="false">IF(INDEX(Data!$H$5:$H$34,MATCH($A13,Data!$A$5:$A$34,0))="","",INDEX(Data!$H$5:$H$34,MATCH($A13,Data!$A$5:$A$34,0)))</f>
        <v>31</v>
      </c>
      <c r="Q13" s="8" t="n">
        <f aca="false">IF(INDEX(Data!$I$5:$I$34,MATCH($A13,Data!$A$5:$A$34,0))="","",INDEX(Data!$I$5:$I$34,MATCH($A13,Data!$A$5:$A$34,0)))</f>
        <v>23</v>
      </c>
      <c r="R13" s="8" t="n">
        <f aca="false">IF(INDEX(Data!$J$5:$J$34,MATCH($A13,Data!$A$5:$A$34,0))="","",INDEX(Data!$J$5:$J$34,MATCH($A13,Data!$A$5:$A$34,0)))</f>
        <v>19</v>
      </c>
      <c r="S13" s="19" t="n">
        <f aca="false">IF(L13="","",IF(L13&lt;=Assumptions!$B$31,Assumptions!$H$31,IF(L13&lt;=Assumptions!$C$31,Assumptions!$H$31+(L13-Assumptions!$B$31)/(Assumptions!$C$31-Assumptions!$B$31)*(Assumptions!$I$31-Assumptions!$H$31),IF(L13&lt;=Assumptions!$D$31,Assumptions!$I$31+(L13-Assumptions!$C$31)/(Assumptions!$D$31-Assumptions!$C$31)*(Assumptions!$J$31-Assumptions!$I$31),IF(L13&lt;=Assumptions!$E$31,Assumptions!$J$31+(L13-Assumptions!$D$31)/(Assumptions!$E$31-Assumptions!$D$31)*(Assumptions!$K$31-Assumptions!$J$31),IF(L13&lt;=Assumptions!$F$31,Assumptions!$K$31+(L13-Assumptions!$E$31)/(Assumptions!$F$31-Assumptions!$E$31)*(Assumptions!$L$31-Assumptions!$K$31),IF(L13&lt;=Assumptions!$G$31,Assumptions!$L$31+(L13-Assumptions!$F$31)/(Assumptions!$G$31-Assumptions!$F$31)*(Assumptions!$M$31-Assumptions!$L$31),Assumptions!$M$31)))))))</f>
        <v>27.96</v>
      </c>
      <c r="T13" s="19" t="n">
        <f aca="false">IF(K13="","",IF(K13&lt;=Assumptions!$B$32,Assumptions!$H$32,IF(K13&lt;=Assumptions!$C$32,Assumptions!$H$32+(K13-Assumptions!$B$32)/(Assumptions!$C$32-Assumptions!$B$32)*(Assumptions!$I$32-Assumptions!$H$32),IF(K13&lt;=Assumptions!$D$32,Assumptions!$I$32+(K13-Assumptions!$C$32)/(Assumptions!$D$32-Assumptions!$C$32)*(Assumptions!$J$32-Assumptions!$I$32),IF(K13&lt;=Assumptions!$E$32,Assumptions!$J$32+(K13-Assumptions!$D$32)/(Assumptions!$E$32-Assumptions!$D$32)*(Assumptions!$K$32-Assumptions!$J$32),IF(K13&lt;=Assumptions!$F$32,Assumptions!$K$32+(K13-Assumptions!$E$32)/(Assumptions!$F$32-Assumptions!$E$32)*(Assumptions!$L$32-Assumptions!$K$32),IF(K13&lt;=Assumptions!$G$32,Assumptions!$L$32+(K13-Assumptions!$F$32)/(Assumptions!$G$32-Assumptions!$F$32)*(Assumptions!$M$32-Assumptions!$L$32),Assumptions!$M$32)))))))</f>
        <v>7.79999999999999</v>
      </c>
      <c r="U13" s="19" t="n">
        <f aca="false">IF(M13&lt;=Assumptions!$B$33,Assumptions!$H$33,IF(M13&lt;=Assumptions!$C$33,Assumptions!$H$33+(M13-Assumptions!$B$33)/(Assumptions!$C$33-Assumptions!$B$33)*(Assumptions!$I$33-Assumptions!$H$33),IF(M13&lt;=Assumptions!$D$33,Assumptions!$I$33+(M13-Assumptions!$C$33)/(Assumptions!$D$33-Assumptions!$C$33)*(Assumptions!$J$33-Assumptions!$I$33),IF(M13&lt;=Assumptions!$E$33,Assumptions!$J$33+(M13-Assumptions!$D$33)/(Assumptions!$E$33-Assumptions!$D$33)*(Assumptions!$K$33-Assumptions!$J$33),IF(M13&lt;=Assumptions!$F$33,Assumptions!$K$33+(M13-Assumptions!$E$33)/(Assumptions!$F$33-Assumptions!$E$33)*(Assumptions!$L$33-Assumptions!$K$33),IF(M13&lt;=Assumptions!$G$33,Assumptions!$L$33+(M13-Assumptions!$F$33)/(Assumptions!$G$33-Assumptions!$F$33)*(Assumptions!$M$33-Assumptions!$L$33),Assumptions!$M$33))))))</f>
        <v>65.5</v>
      </c>
      <c r="V13" s="19" t="n">
        <f aca="false">IF(N13&lt;=Assumptions!$B$34,Assumptions!$H$34,IF(N13&lt;=Assumptions!$C$34,Assumptions!$H$34+(N13-Assumptions!$B$34)/(Assumptions!$C$34-Assumptions!$B$34)*(Assumptions!$I$34-Assumptions!$H$34),IF(N13&lt;=Assumptions!$D$34,Assumptions!$I$34+(N13-Assumptions!$C$34)/(Assumptions!$D$34-Assumptions!$C$34)*(Assumptions!$J$34-Assumptions!$I$34),IF(N13&lt;=Assumptions!$E$34,Assumptions!$J$34+(N13-Assumptions!$D$34)/(Assumptions!$E$34-Assumptions!$D$34)*(Assumptions!$K$34-Assumptions!$J$34),IF(N13&lt;=Assumptions!$F$34,Assumptions!$K$34+(N13-Assumptions!$E$34)/(Assumptions!$F$34-Assumptions!$E$34)*(Assumptions!$L$34-Assumptions!$K$34),IF(N13&lt;=Assumptions!$G$34,Assumptions!$L$34+(N13-Assumptions!$F$34)/(Assumptions!$G$34-Assumptions!$F$34)*(Assumptions!$M$34-Assumptions!$L$34),Assumptions!$M$34))))))</f>
        <v>26.75</v>
      </c>
      <c r="W13" s="19" t="n">
        <f aca="false">IF(S13="",PERCENTILE($S$6:$S$30,Assumptions!$B$36),S13)</f>
        <v>27.96</v>
      </c>
      <c r="X13" s="19" t="n">
        <f aca="false">IF(T13="",PERCENTILE($T$6:$T$30,Assumptions!$B$36),T13)</f>
        <v>7.79999999999999</v>
      </c>
      <c r="Y13" s="19" t="n">
        <f aca="false">IF(O13="",PERCENTILE($O$6:$O$30,Assumptions!$B$36),O13)</f>
        <v>27</v>
      </c>
      <c r="Z13" s="19" t="n">
        <f aca="false">W13*Assumptions!$B$16+X13*Assumptions!$B$17</f>
        <v>17.88</v>
      </c>
      <c r="AA13" s="19" t="n">
        <f aca="false">U13*Assumptions!$B$18+V13*Assumptions!$B$19</f>
        <v>46.125</v>
      </c>
      <c r="AB13" s="19" t="n">
        <f aca="false">AVERAGE(P13:R13)</f>
        <v>24.3333333333333</v>
      </c>
      <c r="AC13" s="16" t="n">
        <v>0</v>
      </c>
      <c r="AD13" s="20" t="n">
        <f aca="false">MIN(100,Z13*Assumptions!$B$11+AA13*Assumptions!$B$12+Y13*Assumptions!$B$13+AB13*Assumptions!$B$14+AC13*Assumptions!$B$20)</f>
        <v>29.3348333333333</v>
      </c>
      <c r="AE13" s="21" t="n">
        <f aca="false">MIN(1,SUMIFS(Network!$V$5:$V$14,Network!$D$5:$D$14,$A13,Network!$U$5:$U$14,1))</f>
        <v>0</v>
      </c>
      <c r="AF13" s="21" t="n">
        <f aca="false">MIN(1,SUMIFS(Network!$W$5:$W$14,Network!$D$5:$D$14,$A13,Network!$U$5:$U$14,1))</f>
        <v>0</v>
      </c>
      <c r="AG13" s="21" t="n">
        <f aca="false">MIN(1,SUMIFS(Network!$X$5:$X$14,Network!$D$5:$D$14,$A13,Network!$U$5:$U$14,1))</f>
        <v>0.2</v>
      </c>
      <c r="AH13" s="22" t="n">
        <f aca="false">AE13*Assumptions!$B$5+AF13*Assumptions!$B$6+AG13*Assumptions!$B$7</f>
        <v>83.2</v>
      </c>
      <c r="AI13" s="23" t="n">
        <f aca="false">AH13/Assumptions!$B$8</f>
        <v>0.0533333333333333</v>
      </c>
      <c r="AJ13" s="24" t="n">
        <f aca="false">AH13/52</f>
        <v>1.6</v>
      </c>
      <c r="AK13" s="22" t="n">
        <f aca="false">AJ13*I13</f>
        <v>19.2</v>
      </c>
      <c r="AL13" s="19" t="n">
        <f aca="false">MIN(100,I13/Assumptions!$B$26*100)</f>
        <v>33.3333333333333</v>
      </c>
      <c r="AM13" s="19" t="n">
        <f aca="false">MIN(100,H13/Assumptions!$B$27*100)</f>
        <v>33.3333333333333</v>
      </c>
      <c r="AN13" s="20" t="n">
        <f aca="false">AI13*100*Assumptions!$B$23+AL13*Assumptions!$B$24+AM13*Assumptions!$B$25</f>
        <v>19.3333333333333</v>
      </c>
      <c r="AO13" s="25" t="n">
        <f aca="false">AN13*AD13/100</f>
        <v>5.67140111111111</v>
      </c>
      <c r="AP13" s="6" t="n">
        <f aca="false">RANK(AO13,$AO$6:$AO$30)+COUNTIF($AO$6:AO13,AO13)-1</f>
        <v>25</v>
      </c>
      <c r="AQ13" s="6" t="str">
        <f aca="false">IF(AO13&gt;=Assumptions!$B$39,"Critical",IF(AO13&gt;=Assumptions!$B$40,"High",IF(AO13&gt;=Assumptions!$B$41,"Elevated","Watch")))</f>
        <v>Watch</v>
      </c>
      <c r="AR13" s="6" t="str">
        <f aca="false">IF(AND(AN13&gt;=Assumptions!$B$42,AD13&gt;=Assumptions!$B$43),"Act now",IF(AN13&gt;=Assumptions!$B$42,"Protect (structural)",IF(AD13&gt;=Assumptions!$B$43,"Remediate supplier","Routine")))</f>
        <v>Routine</v>
      </c>
      <c r="AS13" s="6" t="n">
        <f aca="false">_xlfn.MAXIFS(Network!$T$5:$T$36,Network!$D$5:$D$36,$A13)</f>
        <v>3</v>
      </c>
      <c r="AT13" s="6" t="n">
        <f aca="false">COUNT(K13:R13)</f>
        <v>8</v>
      </c>
      <c r="AU13" s="6" t="n">
        <f aca="false">IF(AT13&gt;=8,2,IF(AT13&gt;=6,1,0))</f>
        <v>2</v>
      </c>
      <c r="AV13" s="6" t="n">
        <f aca="false">IF(OR(C13=1,LEFT(G13,9)="Confirmed"),1,0)</f>
        <v>1</v>
      </c>
      <c r="AW13" s="6" t="n">
        <f aca="false">AS13+AU13+AV13</f>
        <v>6</v>
      </c>
      <c r="AX13" s="26" t="str">
        <f aca="false">IF(AW13&gt;=Assumptions!$B$44,"High",IF(AW13&gt;=Assumptions!$B$45,"Medium","Low"))</f>
        <v>High</v>
      </c>
      <c r="AY13" s="14" t="str">
        <f aca="false">IF(OR(AQ13="Critical",AQ13="High"),IF(AX13="Low","VERIFY first – urgent sub-tier fact-find",IF(OR(AQ13="Critical",AV13=1),"ACT – mitigate now","CONFIRM sole-source status, then qualify alternate")),IF(AQ13="Elevated",IF(AX13="Low","VERIFY – add to N-tier survey","PLAN – qualify alternate in 90 days"),"MONITOR – quarterly review"))</f>
        <v>MONITOR – quarterly review</v>
      </c>
      <c r="AZ13" s="14" t="str">
        <f aca="false">IF(K13&amp;L13&amp;O13&lt;&gt;"",IF(OR(K13="",L13="",O13=""),TRIM(IF(K13="","Current ratio; ","")&amp;IF(L13="","Net debt/EBITDA; ","")&amp;IF(O13="","Assurance gap","")),"—"),"Current ratio; Net debt/EBITDA; Assurance gap")</f>
        <v>—</v>
      </c>
    </row>
    <row r="14" customFormat="false" ht="46.25" hidden="false" customHeight="false" outlineLevel="0" collapsed="false">
      <c r="A14" s="27" t="s">
        <v>115</v>
      </c>
      <c r="B14" s="28" t="str">
        <f aca="false">INDEX(Data!$B$5:$B$34,MATCH($A14,Data!$A$5:$A$34,0))</f>
        <v>CommonSpan Holdings Ltd.</v>
      </c>
      <c r="C14" s="27" t="n">
        <v>1</v>
      </c>
      <c r="D14" s="29" t="s">
        <v>116</v>
      </c>
      <c r="E14" s="27" t="s">
        <v>117</v>
      </c>
      <c r="F14" s="27" t="s">
        <v>118</v>
      </c>
      <c r="G14" s="30" t="s">
        <v>119</v>
      </c>
      <c r="H14" s="31" t="n">
        <v>2</v>
      </c>
      <c r="I14" s="31" t="n">
        <v>16</v>
      </c>
      <c r="J14" s="29" t="s">
        <v>120</v>
      </c>
      <c r="K14" s="32" t="n">
        <f aca="false">IF(INDEX(Data!$C$5:$C$34,MATCH($A14,Data!$A$5:$A$34,0))="","",INDEX(Data!$C$5:$C$34,MATCH($A14,Data!$A$5:$A$34,0)))</f>
        <v>2.04</v>
      </c>
      <c r="L14" s="32" t="n">
        <f aca="false">IF(INDEX(Data!$D$5:$D$34,MATCH($A14,Data!$A$5:$A$34,0))="","",INDEX(Data!$D$5:$D$34,MATCH($A14,Data!$A$5:$A$34,0)))</f>
        <v>1</v>
      </c>
      <c r="M14" s="33" t="n">
        <f aca="false">IF(INDEX(Data!$E$5:$E$34,MATCH($A14,Data!$A$5:$A$34,0))="","",INDEX(Data!$E$5:$E$34,MATCH($A14,Data!$A$5:$A$34,0)))</f>
        <v>87.6</v>
      </c>
      <c r="N14" s="33" t="n">
        <f aca="false">IF(INDEX(Data!$F$5:$F$34,MATCH($A14,Data!$A$5:$A$34,0))="","",INDEX(Data!$F$5:$F$34,MATCH($A14,Data!$A$5:$A$34,0)))</f>
        <v>-1.1</v>
      </c>
      <c r="O14" s="33" t="n">
        <f aca="false">IF(INDEX(Data!$G$5:$G$34,MATCH($A14,Data!$A$5:$A$34,0))="","",INDEX(Data!$G$5:$G$34,MATCH($A14,Data!$A$5:$A$34,0)))</f>
        <v>45</v>
      </c>
      <c r="P14" s="33" t="n">
        <f aca="false">IF(INDEX(Data!$H$5:$H$34,MATCH($A14,Data!$A$5:$A$34,0))="","",INDEX(Data!$H$5:$H$34,MATCH($A14,Data!$A$5:$A$34,0)))</f>
        <v>31</v>
      </c>
      <c r="Q14" s="33" t="n">
        <f aca="false">IF(INDEX(Data!$I$5:$I$34,MATCH($A14,Data!$A$5:$A$34,0))="","",INDEX(Data!$I$5:$I$34,MATCH($A14,Data!$A$5:$A$34,0)))</f>
        <v>23</v>
      </c>
      <c r="R14" s="33" t="n">
        <f aca="false">IF(INDEX(Data!$J$5:$J$34,MATCH($A14,Data!$A$5:$A$34,0))="","",INDEX(Data!$J$5:$J$34,MATCH($A14,Data!$A$5:$A$34,0)))</f>
        <v>19</v>
      </c>
      <c r="S14" s="34" t="n">
        <f aca="false">IF(L14="","",IF(L14&lt;=Assumptions!$B$31,Assumptions!$H$31,IF(L14&lt;=Assumptions!$C$31,Assumptions!$H$31+(L14-Assumptions!$B$31)/(Assumptions!$C$31-Assumptions!$B$31)*(Assumptions!$I$31-Assumptions!$H$31),IF(L14&lt;=Assumptions!$D$31,Assumptions!$I$31+(L14-Assumptions!$C$31)/(Assumptions!$D$31-Assumptions!$C$31)*(Assumptions!$J$31-Assumptions!$I$31),IF(L14&lt;=Assumptions!$E$31,Assumptions!$J$31+(L14-Assumptions!$D$31)/(Assumptions!$E$31-Assumptions!$D$31)*(Assumptions!$K$31-Assumptions!$J$31),IF(L14&lt;=Assumptions!$F$31,Assumptions!$K$31+(L14-Assumptions!$E$31)/(Assumptions!$F$31-Assumptions!$E$31)*(Assumptions!$L$31-Assumptions!$K$31),IF(L14&lt;=Assumptions!$G$31,Assumptions!$L$31+(L14-Assumptions!$F$31)/(Assumptions!$G$31-Assumptions!$F$31)*(Assumptions!$M$31-Assumptions!$L$31),Assumptions!$M$31)))))))</f>
        <v>12</v>
      </c>
      <c r="T14" s="34" t="n">
        <f aca="false">IF(K14="","",IF(K14&lt;=Assumptions!$B$32,Assumptions!$H$32,IF(K14&lt;=Assumptions!$C$32,Assumptions!$H$32+(K14-Assumptions!$B$32)/(Assumptions!$C$32-Assumptions!$B$32)*(Assumptions!$I$32-Assumptions!$H$32),IF(K14&lt;=Assumptions!$D$32,Assumptions!$I$32+(K14-Assumptions!$C$32)/(Assumptions!$D$32-Assumptions!$C$32)*(Assumptions!$J$32-Assumptions!$I$32),IF(K14&lt;=Assumptions!$E$32,Assumptions!$J$32+(K14-Assumptions!$D$32)/(Assumptions!$E$32-Assumptions!$D$32)*(Assumptions!$K$32-Assumptions!$J$32),IF(K14&lt;=Assumptions!$F$32,Assumptions!$K$32+(K14-Assumptions!$E$32)/(Assumptions!$F$32-Assumptions!$E$32)*(Assumptions!$L$32-Assumptions!$K$32),IF(K14&lt;=Assumptions!$G$32,Assumptions!$L$32+(K14-Assumptions!$F$32)/(Assumptions!$G$32-Assumptions!$F$32)*(Assumptions!$M$32-Assumptions!$L$32),Assumptions!$M$32)))))))</f>
        <v>13.8</v>
      </c>
      <c r="U14" s="34" t="n">
        <f aca="false">IF(M14&lt;=Assumptions!$B$33,Assumptions!$H$33,IF(M14&lt;=Assumptions!$C$33,Assumptions!$H$33+(M14-Assumptions!$B$33)/(Assumptions!$C$33-Assumptions!$B$33)*(Assumptions!$I$33-Assumptions!$H$33),IF(M14&lt;=Assumptions!$D$33,Assumptions!$I$33+(M14-Assumptions!$C$33)/(Assumptions!$D$33-Assumptions!$C$33)*(Assumptions!$J$33-Assumptions!$I$33),IF(M14&lt;=Assumptions!$E$33,Assumptions!$J$33+(M14-Assumptions!$D$33)/(Assumptions!$E$33-Assumptions!$D$33)*(Assumptions!$K$33-Assumptions!$J$33),IF(M14&lt;=Assumptions!$F$33,Assumptions!$K$33+(M14-Assumptions!$E$33)/(Assumptions!$F$33-Assumptions!$E$33)*(Assumptions!$L$33-Assumptions!$K$33),IF(M14&lt;=Assumptions!$G$33,Assumptions!$L$33+(M14-Assumptions!$F$33)/(Assumptions!$G$33-Assumptions!$F$33)*(Assumptions!$M$33-Assumptions!$L$33),Assumptions!$M$33))))))</f>
        <v>37</v>
      </c>
      <c r="V14" s="34" t="n">
        <f aca="false">IF(N14&lt;=Assumptions!$B$34,Assumptions!$H$34,IF(N14&lt;=Assumptions!$C$34,Assumptions!$H$34+(N14-Assumptions!$B$34)/(Assumptions!$C$34-Assumptions!$B$34)*(Assumptions!$I$34-Assumptions!$H$34),IF(N14&lt;=Assumptions!$D$34,Assumptions!$I$34+(N14-Assumptions!$C$34)/(Assumptions!$D$34-Assumptions!$C$34)*(Assumptions!$J$34-Assumptions!$I$34),IF(N14&lt;=Assumptions!$E$34,Assumptions!$J$34+(N14-Assumptions!$D$34)/(Assumptions!$E$34-Assumptions!$D$34)*(Assumptions!$K$34-Assumptions!$J$34),IF(N14&lt;=Assumptions!$F$34,Assumptions!$K$34+(N14-Assumptions!$E$34)/(Assumptions!$F$34-Assumptions!$E$34)*(Assumptions!$L$34-Assumptions!$K$34),IF(N14&lt;=Assumptions!$G$34,Assumptions!$L$34+(N14-Assumptions!$F$34)/(Assumptions!$G$34-Assumptions!$F$34)*(Assumptions!$M$34-Assumptions!$L$34),Assumptions!$M$34))))))</f>
        <v>28.25</v>
      </c>
      <c r="W14" s="34" t="n">
        <f aca="false">IF(S14="",PERCENTILE($S$6:$S$30,Assumptions!$B$36),S14)</f>
        <v>12</v>
      </c>
      <c r="X14" s="34" t="n">
        <f aca="false">IF(T14="",PERCENTILE($T$6:$T$30,Assumptions!$B$36),T14)</f>
        <v>13.8</v>
      </c>
      <c r="Y14" s="34" t="n">
        <f aca="false">IF(O14="",PERCENTILE($O$6:$O$30,Assumptions!$B$36),O14)</f>
        <v>45</v>
      </c>
      <c r="Z14" s="34" t="n">
        <f aca="false">W14*Assumptions!$B$16+X14*Assumptions!$B$17</f>
        <v>12.9</v>
      </c>
      <c r="AA14" s="34" t="n">
        <f aca="false">U14*Assumptions!$B$18+V14*Assumptions!$B$19</f>
        <v>32.625</v>
      </c>
      <c r="AB14" s="34" t="n">
        <f aca="false">AVERAGE(P14:R14)</f>
        <v>24.3333333333333</v>
      </c>
      <c r="AC14" s="31" t="n">
        <v>0</v>
      </c>
      <c r="AD14" s="35" t="n">
        <f aca="false">MIN(100,Z14*Assumptions!$B$11+AA14*Assumptions!$B$12+Y14*Assumptions!$B$13+AB14*Assumptions!$B$14+AC14*Assumptions!$B$20)</f>
        <v>26.4908333333333</v>
      </c>
      <c r="AE14" s="36" t="n">
        <f aca="false">MIN(1,AE6+AE7)</f>
        <v>1</v>
      </c>
      <c r="AF14" s="36" t="n">
        <f aca="false">MIN(1,AF6+AF7)</f>
        <v>1</v>
      </c>
      <c r="AG14" s="36" t="n">
        <f aca="false">MIN(1,AG6+AG7)</f>
        <v>1</v>
      </c>
      <c r="AH14" s="37" t="n">
        <f aca="false">AE14*Assumptions!$B$5+AF14*Assumptions!$B$6+AG14*Assumptions!$B$7</f>
        <v>1560</v>
      </c>
      <c r="AI14" s="38" t="n">
        <f aca="false">AH14/Assumptions!$B$8</f>
        <v>1</v>
      </c>
      <c r="AJ14" s="39" t="n">
        <f aca="false">AH14/52</f>
        <v>30</v>
      </c>
      <c r="AK14" s="37" t="n">
        <f aca="false">AJ14*I14</f>
        <v>480</v>
      </c>
      <c r="AL14" s="34" t="n">
        <f aca="false">MIN(100,I14/Assumptions!$B$26*100)</f>
        <v>44.4444444444444</v>
      </c>
      <c r="AM14" s="34" t="n">
        <f aca="false">MIN(100,H14/Assumptions!$B$27*100)</f>
        <v>66.6666666666667</v>
      </c>
      <c r="AN14" s="35" t="n">
        <f aca="false">AI14*100*Assumptions!$B$23+AL14*Assumptions!$B$24+AM14*Assumptions!$B$25</f>
        <v>76.6666666666667</v>
      </c>
      <c r="AO14" s="35" t="n">
        <f aca="false">AN14*AD14/100</f>
        <v>20.3096388888889</v>
      </c>
      <c r="AP14" s="27" t="n">
        <f aca="false">RANK(AO14,$AO$6:$AO$30)+COUNTIF($AO$6:AO14,AO14)-1</f>
        <v>15</v>
      </c>
      <c r="AQ14" s="27" t="str">
        <f aca="false">IF(AO14&gt;=Assumptions!$B$39,"Critical",IF(AO14&gt;=Assumptions!$B$40,"High",IF(AO14&gt;=Assumptions!$B$41,"Elevated","Watch")))</f>
        <v>Elevated</v>
      </c>
      <c r="AR14" s="27" t="str">
        <f aca="false">IF(AND(AN14&gt;=Assumptions!$B$42,AD14&gt;=Assumptions!$B$43),"Act now",IF(AN14&gt;=Assumptions!$B$42,"Protect (structural)",IF(AD14&gt;=Assumptions!$B$43,"Remediate supplier","Routine")))</f>
        <v>Protect (structural)</v>
      </c>
      <c r="AS14" s="31" t="n">
        <v>3</v>
      </c>
      <c r="AT14" s="27" t="n">
        <f aca="false">COUNT(K14:R14)</f>
        <v>8</v>
      </c>
      <c r="AU14" s="27" t="n">
        <f aca="false">IF(AT14&gt;=8,2,IF(AT14&gt;=6,1,0))</f>
        <v>2</v>
      </c>
      <c r="AV14" s="27" t="n">
        <f aca="false">IF(OR(C14=1,LEFT(G14,9)="Confirmed"),1,0)</f>
        <v>1</v>
      </c>
      <c r="AW14" s="27" t="n">
        <f aca="false">AS14+AU14+AV14</f>
        <v>6</v>
      </c>
      <c r="AX14" s="40" t="str">
        <f aca="false">IF(AW14&gt;=Assumptions!$B$44,"High",IF(AW14&gt;=Assumptions!$B$45,"Medium","Low"))</f>
        <v>High</v>
      </c>
      <c r="AY14" s="29" t="str">
        <f aca="false">IF(OR(AQ14="Critical",AQ14="High"),IF(AX14="Low","VERIFY first – urgent sub-tier fact-find",IF(OR(AQ14="Critical",AV14=1),"ACT – mitigate now","CONFIRM sole-source status, then qualify alternate")),IF(AQ14="Elevated",IF(AX14="Low","VERIFY – add to N-tier survey","PLAN – qualify alternate in 90 days"),"MONITOR – quarterly review"))</f>
        <v>PLAN – qualify alternate in 90 days</v>
      </c>
      <c r="AZ14" s="29" t="str">
        <f aca="false">IF(K14&amp;L14&amp;O14&lt;&gt;"",IF(OR(K14="",L14="",O14=""),TRIM(IF(K14="","Current ratio; ","")&amp;IF(L14="","Net debt/EBITDA; ","")&amp;IF(O14="","Assurance gap","")),"—"),"Current ratio; Net debt/EBITDA; Assurance gap")</f>
        <v>—</v>
      </c>
    </row>
    <row r="15" customFormat="false" ht="35.05" hidden="false" customHeight="false" outlineLevel="0" collapsed="false">
      <c r="A15" s="6" t="s">
        <v>121</v>
      </c>
      <c r="B15" s="7" t="str">
        <f aca="false">INDEX(Data!$B$5:$B$34,MATCH($A15,Data!$A$5:$A$34,0))</f>
        <v>IonPeak Semiconductor Ltd.</v>
      </c>
      <c r="C15" s="6" t="n">
        <v>2</v>
      </c>
      <c r="D15" s="14" t="s">
        <v>122</v>
      </c>
      <c r="E15" s="7" t="str">
        <f aca="false">INDEX(Data!$G$38:$G$67,MATCH($A15,Data!$A$38:$A$67,0))</f>
        <v>SITE-074</v>
      </c>
      <c r="F15" s="7" t="str">
        <f aca="false">INDEX(Data!$I$38:$I$67,MATCH($A15,Data!$A$38:$A$67,0))</f>
        <v>Z01</v>
      </c>
      <c r="G15" s="15" t="s">
        <v>123</v>
      </c>
      <c r="H15" s="16" t="n">
        <v>2</v>
      </c>
      <c r="I15" s="17" t="n">
        <v>36</v>
      </c>
      <c r="J15" s="14" t="s">
        <v>124</v>
      </c>
      <c r="K15" s="18" t="n">
        <f aca="false">IF(INDEX(Data!$C$5:$C$34,MATCH($A15,Data!$A$5:$A$34,0))="","",INDEX(Data!$C$5:$C$34,MATCH($A15,Data!$A$5:$A$34,0)))</f>
        <v>1.8</v>
      </c>
      <c r="L15" s="18" t="n">
        <f aca="false">IF(INDEX(Data!$D$5:$D$34,MATCH($A15,Data!$A$5:$A$34,0))="","",INDEX(Data!$D$5:$D$34,MATCH($A15,Data!$A$5:$A$34,0)))</f>
        <v>2.4</v>
      </c>
      <c r="M15" s="8" t="n">
        <f aca="false">IF(INDEX(Data!$E$5:$E$34,MATCH($A15,Data!$A$5:$A$34,0))="","",INDEX(Data!$E$5:$E$34,MATCH($A15,Data!$A$5:$A$34,0)))</f>
        <v>85.2</v>
      </c>
      <c r="N15" s="8" t="n">
        <f aca="false">IF(INDEX(Data!$F$5:$F$34,MATCH($A15,Data!$A$5:$A$34,0))="","",INDEX(Data!$F$5:$F$34,MATCH($A15,Data!$A$5:$A$34,0)))</f>
        <v>-8.8</v>
      </c>
      <c r="O15" s="8" t="n">
        <f aca="false">IF(INDEX(Data!$G$5:$G$34,MATCH($A15,Data!$A$5:$A$34,0))="","",INDEX(Data!$G$5:$G$34,MATCH($A15,Data!$A$5:$A$34,0)))</f>
        <v>36</v>
      </c>
      <c r="P15" s="8" t="n">
        <f aca="false">IF(INDEX(Data!$H$5:$H$34,MATCH($A15,Data!$A$5:$A$34,0))="","",INDEX(Data!$H$5:$H$34,MATCH($A15,Data!$A$5:$A$34,0)))</f>
        <v>82</v>
      </c>
      <c r="Q15" s="8" t="n">
        <f aca="false">IF(INDEX(Data!$I$5:$I$34,MATCH($A15,Data!$A$5:$A$34,0))="","",INDEX(Data!$I$5:$I$34,MATCH($A15,Data!$A$5:$A$34,0)))</f>
        <v>76</v>
      </c>
      <c r="R15" s="8" t="n">
        <f aca="false">IF(INDEX(Data!$J$5:$J$34,MATCH($A15,Data!$A$5:$A$34,0))="","",INDEX(Data!$J$5:$J$34,MATCH($A15,Data!$A$5:$A$34,0)))</f>
        <v>71</v>
      </c>
      <c r="S15" s="19" t="n">
        <f aca="false">IF(L15="","",IF(L15&lt;=Assumptions!$B$31,Assumptions!$H$31,IF(L15&lt;=Assumptions!$C$31,Assumptions!$H$31+(L15-Assumptions!$B$31)/(Assumptions!$C$31-Assumptions!$B$31)*(Assumptions!$I$31-Assumptions!$H$31),IF(L15&lt;=Assumptions!$D$31,Assumptions!$I$31+(L15-Assumptions!$C$31)/(Assumptions!$D$31-Assumptions!$C$31)*(Assumptions!$J$31-Assumptions!$I$31),IF(L15&lt;=Assumptions!$E$31,Assumptions!$J$31+(L15-Assumptions!$D$31)/(Assumptions!$E$31-Assumptions!$D$31)*(Assumptions!$K$31-Assumptions!$J$31),IF(L15&lt;=Assumptions!$F$31,Assumptions!$K$31+(L15-Assumptions!$E$31)/(Assumptions!$F$31-Assumptions!$E$31)*(Assumptions!$L$31-Assumptions!$K$31),IF(L15&lt;=Assumptions!$G$31,Assumptions!$L$31+(L15-Assumptions!$F$31)/(Assumptions!$G$31-Assumptions!$F$31)*(Assumptions!$M$31-Assumptions!$L$31),Assumptions!$M$31)))))))</f>
        <v>28.8</v>
      </c>
      <c r="T15" s="19" t="n">
        <f aca="false">IF(K15="","",IF(K15&lt;=Assumptions!$B$32,Assumptions!$H$32,IF(K15&lt;=Assumptions!$C$32,Assumptions!$H$32+(K15-Assumptions!$B$32)/(Assumptions!$C$32-Assumptions!$B$32)*(Assumptions!$I$32-Assumptions!$H$32),IF(K15&lt;=Assumptions!$D$32,Assumptions!$I$32+(K15-Assumptions!$C$32)/(Assumptions!$D$32-Assumptions!$C$32)*(Assumptions!$J$32-Assumptions!$I$32),IF(K15&lt;=Assumptions!$E$32,Assumptions!$J$32+(K15-Assumptions!$D$32)/(Assumptions!$E$32-Assumptions!$D$32)*(Assumptions!$K$32-Assumptions!$J$32),IF(K15&lt;=Assumptions!$F$32,Assumptions!$K$32+(K15-Assumptions!$E$32)/(Assumptions!$F$32-Assumptions!$E$32)*(Assumptions!$L$32-Assumptions!$K$32),IF(K15&lt;=Assumptions!$G$32,Assumptions!$L$32+(K15-Assumptions!$F$32)/(Assumptions!$G$32-Assumptions!$F$32)*(Assumptions!$M$32-Assumptions!$L$32),Assumptions!$M$32)))))))</f>
        <v>21</v>
      </c>
      <c r="U15" s="19" t="n">
        <f aca="false">IF(M15&lt;=Assumptions!$B$33,Assumptions!$H$33,IF(M15&lt;=Assumptions!$C$33,Assumptions!$H$33+(M15-Assumptions!$B$33)/(Assumptions!$C$33-Assumptions!$B$33)*(Assumptions!$I$33-Assumptions!$H$33),IF(M15&lt;=Assumptions!$D$33,Assumptions!$I$33+(M15-Assumptions!$C$33)/(Assumptions!$D$33-Assumptions!$C$33)*(Assumptions!$J$33-Assumptions!$I$33),IF(M15&lt;=Assumptions!$E$33,Assumptions!$J$33+(M15-Assumptions!$D$33)/(Assumptions!$E$33-Assumptions!$D$33)*(Assumptions!$K$33-Assumptions!$J$33),IF(M15&lt;=Assumptions!$F$33,Assumptions!$K$33+(M15-Assumptions!$E$33)/(Assumptions!$F$33-Assumptions!$E$33)*(Assumptions!$L$33-Assumptions!$K$33),IF(M15&lt;=Assumptions!$G$33,Assumptions!$L$33+(M15-Assumptions!$F$33)/(Assumptions!$G$33-Assumptions!$F$33)*(Assumptions!$M$33-Assumptions!$L$33),Assumptions!$M$33))))))</f>
        <v>49</v>
      </c>
      <c r="V15" s="19" t="n">
        <f aca="false">IF(N15&lt;=Assumptions!$B$34,Assumptions!$H$34,IF(N15&lt;=Assumptions!$C$34,Assumptions!$H$34+(N15-Assumptions!$B$34)/(Assumptions!$C$34-Assumptions!$B$34)*(Assumptions!$I$34-Assumptions!$H$34),IF(N15&lt;=Assumptions!$D$34,Assumptions!$I$34+(N15-Assumptions!$C$34)/(Assumptions!$D$34-Assumptions!$C$34)*(Assumptions!$J$34-Assumptions!$I$34),IF(N15&lt;=Assumptions!$E$34,Assumptions!$J$34+(N15-Assumptions!$D$34)/(Assumptions!$E$34-Assumptions!$D$34)*(Assumptions!$K$34-Assumptions!$J$34),IF(N15&lt;=Assumptions!$F$34,Assumptions!$K$34+(N15-Assumptions!$E$34)/(Assumptions!$F$34-Assumptions!$E$34)*(Assumptions!$L$34-Assumptions!$K$34),IF(N15&lt;=Assumptions!$G$34,Assumptions!$L$34+(N15-Assumptions!$F$34)/(Assumptions!$G$34-Assumptions!$F$34)*(Assumptions!$M$34-Assumptions!$L$34),Assumptions!$M$34))))))</f>
        <v>74</v>
      </c>
      <c r="W15" s="19" t="n">
        <f aca="false">IF(S15="",PERCENTILE($S$6:$S$30,Assumptions!$B$36),S15)</f>
        <v>28.8</v>
      </c>
      <c r="X15" s="19" t="n">
        <f aca="false">IF(T15="",PERCENTILE($T$6:$T$30,Assumptions!$B$36),T15)</f>
        <v>21</v>
      </c>
      <c r="Y15" s="19" t="n">
        <f aca="false">IF(O15="",PERCENTILE($O$6:$O$30,Assumptions!$B$36),O15)</f>
        <v>36</v>
      </c>
      <c r="Z15" s="19" t="n">
        <f aca="false">W15*Assumptions!$B$16+X15*Assumptions!$B$17</f>
        <v>24.9</v>
      </c>
      <c r="AA15" s="19" t="n">
        <f aca="false">U15*Assumptions!$B$18+V15*Assumptions!$B$19</f>
        <v>61.5</v>
      </c>
      <c r="AB15" s="19" t="n">
        <f aca="false">AVERAGE(P15:R15)</f>
        <v>76.3333333333333</v>
      </c>
      <c r="AC15" s="16" t="n">
        <v>0</v>
      </c>
      <c r="AD15" s="20" t="n">
        <f aca="false">MIN(100,Z15*Assumptions!$B$11+AA15*Assumptions!$B$12+Y15*Assumptions!$B$13+AB15*Assumptions!$B$14+AC15*Assumptions!$B$20)</f>
        <v>50.4033333333333</v>
      </c>
      <c r="AE15" s="21" t="n">
        <f aca="false">MIN(1,SUMIFS(Network!$V$15:$V$30,Network!$D$15:$D$30,$A15,Network!$U$15:$U$30,1))</f>
        <v>1</v>
      </c>
      <c r="AF15" s="21" t="n">
        <f aca="false">MIN(1,SUMIFS(Network!$W$15:$W$30,Network!$D$15:$D$30,$A15,Network!$U$15:$U$30,1))</f>
        <v>1</v>
      </c>
      <c r="AG15" s="21" t="n">
        <f aca="false">MIN(1,SUMIFS(Network!$X$15:$X$30,Network!$D$15:$D$30,$A15,Network!$U$15:$U$30,1))</f>
        <v>1</v>
      </c>
      <c r="AH15" s="22" t="n">
        <f aca="false">AE15*Assumptions!$B$5+AF15*Assumptions!$B$6+AG15*Assumptions!$B$7</f>
        <v>1560</v>
      </c>
      <c r="AI15" s="23" t="n">
        <f aca="false">AH15/Assumptions!$B$8</f>
        <v>1</v>
      </c>
      <c r="AJ15" s="24" t="n">
        <f aca="false">AH15/52</f>
        <v>30</v>
      </c>
      <c r="AK15" s="22" t="n">
        <f aca="false">AJ15*I15</f>
        <v>1080</v>
      </c>
      <c r="AL15" s="19" t="n">
        <f aca="false">MIN(100,I15/Assumptions!$B$26*100)</f>
        <v>100</v>
      </c>
      <c r="AM15" s="19" t="n">
        <f aca="false">MIN(100,H15/Assumptions!$B$27*100)</f>
        <v>66.6666666666667</v>
      </c>
      <c r="AN15" s="20" t="n">
        <f aca="false">AI15*100*Assumptions!$B$23+AL15*Assumptions!$B$24+AM15*Assumptions!$B$25</f>
        <v>93.3333333333333</v>
      </c>
      <c r="AO15" s="25" t="n">
        <f aca="false">AN15*AD15/100</f>
        <v>47.0431111111111</v>
      </c>
      <c r="AP15" s="6" t="n">
        <f aca="false">RANK(AO15,$AO$6:$AO$30)+COUNTIF($AO$6:AO15,AO15)-1</f>
        <v>2</v>
      </c>
      <c r="AQ15" s="6" t="str">
        <f aca="false">IF(AO15&gt;=Assumptions!$B$39,"Critical",IF(AO15&gt;=Assumptions!$B$40,"High",IF(AO15&gt;=Assumptions!$B$41,"Elevated","Watch")))</f>
        <v>Critical</v>
      </c>
      <c r="AR15" s="6" t="str">
        <f aca="false">IF(AND(AN15&gt;=Assumptions!$B$42,AD15&gt;=Assumptions!$B$43),"Act now",IF(AN15&gt;=Assumptions!$B$42,"Protect (structural)",IF(AD15&gt;=Assumptions!$B$43,"Remediate supplier","Routine")))</f>
        <v>Act now</v>
      </c>
      <c r="AS15" s="6" t="n">
        <f aca="false">_xlfn.MAXIFS(Network!$T$5:$T$36,Network!$D$5:$D$36,$A15)</f>
        <v>3</v>
      </c>
      <c r="AT15" s="6" t="n">
        <f aca="false">COUNT(K15:R15)</f>
        <v>8</v>
      </c>
      <c r="AU15" s="6" t="n">
        <f aca="false">IF(AT15&gt;=8,2,IF(AT15&gt;=6,1,0))</f>
        <v>2</v>
      </c>
      <c r="AV15" s="6" t="n">
        <f aca="false">IF(OR(C15=1,LEFT(G15,9)="Confirmed"),1,0)</f>
        <v>1</v>
      </c>
      <c r="AW15" s="6" t="n">
        <f aca="false">AS15+AU15+AV15</f>
        <v>6</v>
      </c>
      <c r="AX15" s="26" t="str">
        <f aca="false">IF(AW15&gt;=Assumptions!$B$44,"High",IF(AW15&gt;=Assumptions!$B$45,"Medium","Low"))</f>
        <v>High</v>
      </c>
      <c r="AY15" s="14" t="str">
        <f aca="false">IF(OR(AQ15="Critical",AQ15="High"),IF(AX15="Low","VERIFY first – urgent sub-tier fact-find",IF(OR(AQ15="Critical",AV15=1),"ACT – mitigate now","CONFIRM sole-source status, then qualify alternate")),IF(AQ15="Elevated",IF(AX15="Low","VERIFY – add to N-tier survey","PLAN – qualify alternate in 90 days"),"MONITOR – quarterly review"))</f>
        <v>ACT – mitigate now</v>
      </c>
      <c r="AZ15" s="14" t="str">
        <f aca="false">IF(K15&amp;L15&amp;O15&lt;&gt;"",IF(OR(K15="",L15="",O15=""),TRIM(IF(K15="","Current ratio; ","")&amp;IF(L15="","Net debt/EBITDA; ","")&amp;IF(O15="","Assurance gap","")),"—"),"Current ratio; Net debt/EBITDA; Assurance gap")</f>
        <v>—</v>
      </c>
    </row>
    <row r="16" customFormat="false" ht="23.85" hidden="false" customHeight="false" outlineLevel="0" collapsed="false">
      <c r="A16" s="6" t="s">
        <v>125</v>
      </c>
      <c r="B16" s="7" t="str">
        <f aca="false">INDEX(Data!$B$5:$B$34,MATCH($A16,Data!$A$5:$A$34,0))</f>
        <v>Jade Printed Circuits Ltd.</v>
      </c>
      <c r="C16" s="6" t="n">
        <v>2</v>
      </c>
      <c r="D16" s="14" t="s">
        <v>126</v>
      </c>
      <c r="E16" s="7" t="str">
        <f aca="false">INDEX(Data!$G$38:$G$67,MATCH($A16,Data!$A$38:$A$67,0))</f>
        <v>SITE-081</v>
      </c>
      <c r="F16" s="7" t="str">
        <f aca="false">INDEX(Data!$I$38:$I$67,MATCH($A16,Data!$A$38:$A$67,0))</f>
        <v>Z01</v>
      </c>
      <c r="G16" s="15" t="s">
        <v>127</v>
      </c>
      <c r="H16" s="16" t="n">
        <v>3</v>
      </c>
      <c r="I16" s="17" t="n">
        <v>12</v>
      </c>
      <c r="J16" s="14" t="s">
        <v>128</v>
      </c>
      <c r="K16" s="18" t="n">
        <f aca="false">IF(INDEX(Data!$C$5:$C$34,MATCH($A16,Data!$A$5:$A$34,0))="","",INDEX(Data!$C$5:$C$34,MATCH($A16,Data!$A$5:$A$34,0)))</f>
        <v>1.55</v>
      </c>
      <c r="L16" s="18" t="n">
        <f aca="false">IF(INDEX(Data!$D$5:$D$34,MATCH($A16,Data!$A$5:$A$34,0))="","",INDEX(Data!$D$5:$D$34,MATCH($A16,Data!$A$5:$A$34,0)))</f>
        <v>3.1</v>
      </c>
      <c r="M16" s="8" t="n">
        <f aca="false">IF(INDEX(Data!$E$5:$E$34,MATCH($A16,Data!$A$5:$A$34,0))="","",INDEX(Data!$E$5:$E$34,MATCH($A16,Data!$A$5:$A$34,0)))</f>
        <v>86.6</v>
      </c>
      <c r="N16" s="8" t="n">
        <f aca="false">IF(INDEX(Data!$F$5:$F$34,MATCH($A16,Data!$A$5:$A$34,0))="","",INDEX(Data!$F$5:$F$34,MATCH($A16,Data!$A$5:$A$34,0)))</f>
        <v>-6.4</v>
      </c>
      <c r="O16" s="8" t="n">
        <f aca="false">IF(INDEX(Data!$G$5:$G$34,MATCH($A16,Data!$A$5:$A$34,0))="","",INDEX(Data!$G$5:$G$34,MATCH($A16,Data!$A$5:$A$34,0)))</f>
        <v>45</v>
      </c>
      <c r="P16" s="8" t="n">
        <f aca="false">IF(INDEX(Data!$H$5:$H$34,MATCH($A16,Data!$A$5:$A$34,0))="","",INDEX(Data!$H$5:$H$34,MATCH($A16,Data!$A$5:$A$34,0)))</f>
        <v>82</v>
      </c>
      <c r="Q16" s="8" t="n">
        <f aca="false">IF(INDEX(Data!$I$5:$I$34,MATCH($A16,Data!$A$5:$A$34,0))="","",INDEX(Data!$I$5:$I$34,MATCH($A16,Data!$A$5:$A$34,0)))</f>
        <v>76</v>
      </c>
      <c r="R16" s="8" t="n">
        <f aca="false">IF(INDEX(Data!$J$5:$J$34,MATCH($A16,Data!$A$5:$A$34,0))="","",INDEX(Data!$J$5:$J$34,MATCH($A16,Data!$A$5:$A$34,0)))</f>
        <v>71</v>
      </c>
      <c r="S16" s="19" t="n">
        <f aca="false">IF(L16="","",IF(L16&lt;=Assumptions!$B$31,Assumptions!$H$31,IF(L16&lt;=Assumptions!$C$31,Assumptions!$H$31+(L16-Assumptions!$B$31)/(Assumptions!$C$31-Assumptions!$B$31)*(Assumptions!$I$31-Assumptions!$H$31),IF(L16&lt;=Assumptions!$D$31,Assumptions!$I$31+(L16-Assumptions!$C$31)/(Assumptions!$D$31-Assumptions!$C$31)*(Assumptions!$J$31-Assumptions!$I$31),IF(L16&lt;=Assumptions!$E$31,Assumptions!$J$31+(L16-Assumptions!$D$31)/(Assumptions!$E$31-Assumptions!$D$31)*(Assumptions!$K$31-Assumptions!$J$31),IF(L16&lt;=Assumptions!$F$31,Assumptions!$K$31+(L16-Assumptions!$E$31)/(Assumptions!$F$31-Assumptions!$E$31)*(Assumptions!$L$31-Assumptions!$K$31),IF(L16&lt;=Assumptions!$G$31,Assumptions!$L$31+(L16-Assumptions!$F$31)/(Assumptions!$G$31-Assumptions!$F$31)*(Assumptions!$M$31-Assumptions!$L$31),Assumptions!$M$31)))))))</f>
        <v>46</v>
      </c>
      <c r="T16" s="19" t="n">
        <f aca="false">IF(K16="","",IF(K16&lt;=Assumptions!$B$32,Assumptions!$H$32,IF(K16&lt;=Assumptions!$C$32,Assumptions!$H$32+(K16-Assumptions!$B$32)/(Assumptions!$C$32-Assumptions!$B$32)*(Assumptions!$I$32-Assumptions!$H$32),IF(K16&lt;=Assumptions!$D$32,Assumptions!$I$32+(K16-Assumptions!$C$32)/(Assumptions!$D$32-Assumptions!$C$32)*(Assumptions!$J$32-Assumptions!$I$32),IF(K16&lt;=Assumptions!$E$32,Assumptions!$J$32+(K16-Assumptions!$D$32)/(Assumptions!$E$32-Assumptions!$D$32)*(Assumptions!$K$32-Assumptions!$J$32),IF(K16&lt;=Assumptions!$F$32,Assumptions!$K$32+(K16-Assumptions!$E$32)/(Assumptions!$F$32-Assumptions!$E$32)*(Assumptions!$L$32-Assumptions!$K$32),IF(K16&lt;=Assumptions!$G$32,Assumptions!$L$32+(K16-Assumptions!$F$32)/(Assumptions!$G$32-Assumptions!$F$32)*(Assumptions!$M$32-Assumptions!$L$32),Assumptions!$M$32)))))))</f>
        <v>28.5</v>
      </c>
      <c r="U16" s="19" t="n">
        <f aca="false">IF(M16&lt;=Assumptions!$B$33,Assumptions!$H$33,IF(M16&lt;=Assumptions!$C$33,Assumptions!$H$33+(M16-Assumptions!$B$33)/(Assumptions!$C$33-Assumptions!$B$33)*(Assumptions!$I$33-Assumptions!$H$33),IF(M16&lt;=Assumptions!$D$33,Assumptions!$I$33+(M16-Assumptions!$C$33)/(Assumptions!$D$33-Assumptions!$C$33)*(Assumptions!$J$33-Assumptions!$I$33),IF(M16&lt;=Assumptions!$E$33,Assumptions!$J$33+(M16-Assumptions!$D$33)/(Assumptions!$E$33-Assumptions!$D$33)*(Assumptions!$K$33-Assumptions!$J$33),IF(M16&lt;=Assumptions!$F$33,Assumptions!$K$33+(M16-Assumptions!$E$33)/(Assumptions!$F$33-Assumptions!$E$33)*(Assumptions!$L$33-Assumptions!$K$33),IF(M16&lt;=Assumptions!$G$33,Assumptions!$L$33+(M16-Assumptions!$F$33)/(Assumptions!$G$33-Assumptions!$F$33)*(Assumptions!$M$33-Assumptions!$L$33),Assumptions!$M$33))))))</f>
        <v>42</v>
      </c>
      <c r="V16" s="19" t="n">
        <f aca="false">IF(N16&lt;=Assumptions!$B$34,Assumptions!$H$34,IF(N16&lt;=Assumptions!$C$34,Assumptions!$H$34+(N16-Assumptions!$B$34)/(Assumptions!$C$34-Assumptions!$B$34)*(Assumptions!$I$34-Assumptions!$H$34),IF(N16&lt;=Assumptions!$D$34,Assumptions!$I$34+(N16-Assumptions!$C$34)/(Assumptions!$D$34-Assumptions!$C$34)*(Assumptions!$J$34-Assumptions!$I$34),IF(N16&lt;=Assumptions!$E$34,Assumptions!$J$34+(N16-Assumptions!$D$34)/(Assumptions!$E$34-Assumptions!$D$34)*(Assumptions!$K$34-Assumptions!$J$34),IF(N16&lt;=Assumptions!$F$34,Assumptions!$K$34+(N16-Assumptions!$E$34)/(Assumptions!$F$34-Assumptions!$E$34)*(Assumptions!$L$34-Assumptions!$K$34),IF(N16&lt;=Assumptions!$G$34,Assumptions!$L$34+(N16-Assumptions!$F$34)/(Assumptions!$G$34-Assumptions!$F$34)*(Assumptions!$M$34-Assumptions!$L$34),Assumptions!$M$34))))))</f>
        <v>62</v>
      </c>
      <c r="W16" s="19" t="n">
        <f aca="false">IF(S16="",PERCENTILE($S$6:$S$30,Assumptions!$B$36),S16)</f>
        <v>46</v>
      </c>
      <c r="X16" s="19" t="n">
        <f aca="false">IF(T16="",PERCENTILE($T$6:$T$30,Assumptions!$B$36),T16)</f>
        <v>28.5</v>
      </c>
      <c r="Y16" s="19" t="n">
        <f aca="false">IF(O16="",PERCENTILE($O$6:$O$30,Assumptions!$B$36),O16)</f>
        <v>45</v>
      </c>
      <c r="Z16" s="19" t="n">
        <f aca="false">W16*Assumptions!$B$16+X16*Assumptions!$B$17</f>
        <v>37.25</v>
      </c>
      <c r="AA16" s="19" t="n">
        <f aca="false">U16*Assumptions!$B$18+V16*Assumptions!$B$19</f>
        <v>52</v>
      </c>
      <c r="AB16" s="19" t="n">
        <f aca="false">AVERAGE(P16:R16)</f>
        <v>76.3333333333333</v>
      </c>
      <c r="AC16" s="16" t="n">
        <v>0</v>
      </c>
      <c r="AD16" s="20" t="n">
        <f aca="false">MIN(100,Z16*Assumptions!$B$11+AA16*Assumptions!$B$12+Y16*Assumptions!$B$13+AB16*Assumptions!$B$14+AC16*Assumptions!$B$20)</f>
        <v>52.6083333333333</v>
      </c>
      <c r="AE16" s="21" t="n">
        <f aca="false">MIN(1,SUMIFS(Network!$V$15:$V$30,Network!$D$15:$D$30,$A16,Network!$U$15:$U$30,1))</f>
        <v>1</v>
      </c>
      <c r="AF16" s="21" t="n">
        <f aca="false">MIN(1,SUMIFS(Network!$W$15:$W$30,Network!$D$15:$D$30,$A16,Network!$U$15:$U$30,1))</f>
        <v>1</v>
      </c>
      <c r="AG16" s="21" t="n">
        <f aca="false">MIN(1,SUMIFS(Network!$X$15:$X$30,Network!$D$15:$D$30,$A16,Network!$U$15:$U$30,1))</f>
        <v>1</v>
      </c>
      <c r="AH16" s="22" t="n">
        <f aca="false">AE16*Assumptions!$B$5+AF16*Assumptions!$B$6+AG16*Assumptions!$B$7</f>
        <v>1560</v>
      </c>
      <c r="AI16" s="23" t="n">
        <f aca="false">AH16/Assumptions!$B$8</f>
        <v>1</v>
      </c>
      <c r="AJ16" s="24" t="n">
        <f aca="false">AH16/52</f>
        <v>30</v>
      </c>
      <c r="AK16" s="22" t="n">
        <f aca="false">AJ16*I16</f>
        <v>360</v>
      </c>
      <c r="AL16" s="19" t="n">
        <f aca="false">MIN(100,I16/Assumptions!$B$26*100)</f>
        <v>33.3333333333333</v>
      </c>
      <c r="AM16" s="19" t="n">
        <f aca="false">MIN(100,H16/Assumptions!$B$27*100)</f>
        <v>100</v>
      </c>
      <c r="AN16" s="20" t="n">
        <f aca="false">AI16*100*Assumptions!$B$23+AL16*Assumptions!$B$24+AM16*Assumptions!$B$25</f>
        <v>80</v>
      </c>
      <c r="AO16" s="25" t="n">
        <f aca="false">AN16*AD16/100</f>
        <v>42.0866666666667</v>
      </c>
      <c r="AP16" s="6" t="n">
        <f aca="false">RANK(AO16,$AO$6:$AO$30)+COUNTIF($AO$6:AO16,AO16)-1</f>
        <v>4</v>
      </c>
      <c r="AQ16" s="6" t="str">
        <f aca="false">IF(AO16&gt;=Assumptions!$B$39,"Critical",IF(AO16&gt;=Assumptions!$B$40,"High",IF(AO16&gt;=Assumptions!$B$41,"Elevated","Watch")))</f>
        <v>High</v>
      </c>
      <c r="AR16" s="6" t="str">
        <f aca="false">IF(AND(AN16&gt;=Assumptions!$B$42,AD16&gt;=Assumptions!$B$43),"Act now",IF(AN16&gt;=Assumptions!$B$42,"Protect (structural)",IF(AD16&gt;=Assumptions!$B$43,"Remediate supplier","Routine")))</f>
        <v>Act now</v>
      </c>
      <c r="AS16" s="6" t="n">
        <f aca="false">_xlfn.MAXIFS(Network!$T$5:$T$36,Network!$D$5:$D$36,$A16)</f>
        <v>3</v>
      </c>
      <c r="AT16" s="6" t="n">
        <f aca="false">COUNT(K16:R16)</f>
        <v>8</v>
      </c>
      <c r="AU16" s="6" t="n">
        <f aca="false">IF(AT16&gt;=8,2,IF(AT16&gt;=6,1,0))</f>
        <v>2</v>
      </c>
      <c r="AV16" s="6" t="n">
        <f aca="false">IF(OR(C16=1,LEFT(G16,9)="Confirmed"),1,0)</f>
        <v>1</v>
      </c>
      <c r="AW16" s="6" t="n">
        <f aca="false">AS16+AU16+AV16</f>
        <v>6</v>
      </c>
      <c r="AX16" s="26" t="str">
        <f aca="false">IF(AW16&gt;=Assumptions!$B$44,"High",IF(AW16&gt;=Assumptions!$B$45,"Medium","Low"))</f>
        <v>High</v>
      </c>
      <c r="AY16" s="14" t="str">
        <f aca="false">IF(OR(AQ16="Critical",AQ16="High"),IF(AX16="Low","VERIFY first – urgent sub-tier fact-find",IF(OR(AQ16="Critical",AV16=1),"ACT – mitigate now","CONFIRM sole-source status, then qualify alternate")),IF(AQ16="Elevated",IF(AX16="Low","VERIFY – add to N-tier survey","PLAN – qualify alternate in 90 days"),"MONITOR – quarterly review"))</f>
        <v>ACT – mitigate now</v>
      </c>
      <c r="AZ16" s="14" t="str">
        <f aca="false">IF(K16&amp;L16&amp;O16&lt;&gt;"",IF(OR(K16="",L16="",O16=""),TRIM(IF(K16="","Current ratio; ","")&amp;IF(L16="","Net debt/EBITDA; ","")&amp;IF(O16="","Assurance gap","")),"—"),"Current ratio; Net debt/EBITDA; Assurance gap")</f>
        <v>—</v>
      </c>
    </row>
    <row r="17" customFormat="false" ht="35.05" hidden="false" customHeight="false" outlineLevel="0" collapsed="false">
      <c r="A17" s="6" t="s">
        <v>129</v>
      </c>
      <c r="B17" s="7" t="str">
        <f aca="false">INDEX(Data!$B$5:$B$34,MATCH($A17,Data!$A$5:$A$34,0))</f>
        <v>Kestrel Microdevices Ltd.</v>
      </c>
      <c r="C17" s="6" t="n">
        <v>2</v>
      </c>
      <c r="D17" s="14" t="s">
        <v>130</v>
      </c>
      <c r="E17" s="7" t="str">
        <f aca="false">INDEX(Data!$G$38:$G$67,MATCH($A17,Data!$A$38:$A$67,0))</f>
        <v>SITE-088</v>
      </c>
      <c r="F17" s="7" t="str">
        <f aca="false">INDEX(Data!$I$38:$I$67,MATCH($A17,Data!$A$38:$A$67,0))</f>
        <v>Z05</v>
      </c>
      <c r="G17" s="15" t="s">
        <v>131</v>
      </c>
      <c r="H17" s="16" t="n">
        <v>2</v>
      </c>
      <c r="I17" s="17" t="n">
        <v>26</v>
      </c>
      <c r="J17" s="14" t="s">
        <v>132</v>
      </c>
      <c r="K17" s="18" t="n">
        <f aca="false">IF(INDEX(Data!$C$5:$C$34,MATCH($A17,Data!$A$5:$A$34,0))="","",INDEX(Data!$C$5:$C$34,MATCH($A17,Data!$A$5:$A$34,0)))</f>
        <v>1.86</v>
      </c>
      <c r="L17" s="18" t="n">
        <f aca="false">IF(INDEX(Data!$D$5:$D$34,MATCH($A17,Data!$A$5:$A$34,0))="","",INDEX(Data!$D$5:$D$34,MATCH($A17,Data!$A$5:$A$34,0)))</f>
        <v>2</v>
      </c>
      <c r="M17" s="8" t="n">
        <f aca="false">IF(INDEX(Data!$E$5:$E$34,MATCH($A17,Data!$A$5:$A$34,0))="","",INDEX(Data!$E$5:$E$34,MATCH($A17,Data!$A$5:$A$34,0)))</f>
        <v>87.3</v>
      </c>
      <c r="N17" s="8" t="n">
        <f aca="false">IF(INDEX(Data!$F$5:$F$34,MATCH($A17,Data!$A$5:$A$34,0))="","",INDEX(Data!$F$5:$F$34,MATCH($A17,Data!$A$5:$A$34,0)))</f>
        <v>1.6</v>
      </c>
      <c r="O17" s="8" t="n">
        <f aca="false">IF(INDEX(Data!$G$5:$G$34,MATCH($A17,Data!$A$5:$A$34,0))="","",INDEX(Data!$G$5:$G$34,MATCH($A17,Data!$A$5:$A$34,0)))</f>
        <v>54</v>
      </c>
      <c r="P17" s="8" t="n">
        <f aca="false">IF(INDEX(Data!$H$5:$H$34,MATCH($A17,Data!$A$5:$A$34,0))="","",INDEX(Data!$H$5:$H$34,MATCH($A17,Data!$A$5:$A$34,0)))</f>
        <v>31</v>
      </c>
      <c r="Q17" s="8" t="n">
        <f aca="false">IF(INDEX(Data!$I$5:$I$34,MATCH($A17,Data!$A$5:$A$34,0))="","",INDEX(Data!$I$5:$I$34,MATCH($A17,Data!$A$5:$A$34,0)))</f>
        <v>23</v>
      </c>
      <c r="R17" s="8" t="n">
        <f aca="false">IF(INDEX(Data!$J$5:$J$34,MATCH($A17,Data!$A$5:$A$34,0))="","",INDEX(Data!$J$5:$J$34,MATCH($A17,Data!$A$5:$A$34,0)))</f>
        <v>19</v>
      </c>
      <c r="S17" s="19" t="n">
        <f aca="false">IF(L17="","",IF(L17&lt;=Assumptions!$B$31,Assumptions!$H$31,IF(L17&lt;=Assumptions!$C$31,Assumptions!$H$31+(L17-Assumptions!$B$31)/(Assumptions!$C$31-Assumptions!$B$31)*(Assumptions!$I$31-Assumptions!$H$31),IF(L17&lt;=Assumptions!$D$31,Assumptions!$I$31+(L17-Assumptions!$C$31)/(Assumptions!$D$31-Assumptions!$C$31)*(Assumptions!$J$31-Assumptions!$I$31),IF(L17&lt;=Assumptions!$E$31,Assumptions!$J$31+(L17-Assumptions!$D$31)/(Assumptions!$E$31-Assumptions!$D$31)*(Assumptions!$K$31-Assumptions!$J$31),IF(L17&lt;=Assumptions!$F$31,Assumptions!$K$31+(L17-Assumptions!$E$31)/(Assumptions!$F$31-Assumptions!$E$31)*(Assumptions!$L$31-Assumptions!$K$31),IF(L17&lt;=Assumptions!$G$31,Assumptions!$L$31+(L17-Assumptions!$F$31)/(Assumptions!$G$31-Assumptions!$F$31)*(Assumptions!$M$31-Assumptions!$L$31),Assumptions!$M$31)))))))</f>
        <v>24</v>
      </c>
      <c r="T17" s="19" t="n">
        <f aca="false">IF(K17="","",IF(K17&lt;=Assumptions!$B$32,Assumptions!$H$32,IF(K17&lt;=Assumptions!$C$32,Assumptions!$H$32+(K17-Assumptions!$B$32)/(Assumptions!$C$32-Assumptions!$B$32)*(Assumptions!$I$32-Assumptions!$H$32),IF(K17&lt;=Assumptions!$D$32,Assumptions!$I$32+(K17-Assumptions!$C$32)/(Assumptions!$D$32-Assumptions!$C$32)*(Assumptions!$J$32-Assumptions!$I$32),IF(K17&lt;=Assumptions!$E$32,Assumptions!$J$32+(K17-Assumptions!$D$32)/(Assumptions!$E$32-Assumptions!$D$32)*(Assumptions!$K$32-Assumptions!$J$32),IF(K17&lt;=Assumptions!$F$32,Assumptions!$K$32+(K17-Assumptions!$E$32)/(Assumptions!$F$32-Assumptions!$E$32)*(Assumptions!$L$32-Assumptions!$K$32),IF(K17&lt;=Assumptions!$G$32,Assumptions!$L$32+(K17-Assumptions!$F$32)/(Assumptions!$G$32-Assumptions!$F$32)*(Assumptions!$M$32-Assumptions!$L$32),Assumptions!$M$32)))))))</f>
        <v>19.2</v>
      </c>
      <c r="U17" s="19" t="n">
        <f aca="false">IF(M17&lt;=Assumptions!$B$33,Assumptions!$H$33,IF(M17&lt;=Assumptions!$C$33,Assumptions!$H$33+(M17-Assumptions!$B$33)/(Assumptions!$C$33-Assumptions!$B$33)*(Assumptions!$I$33-Assumptions!$H$33),IF(M17&lt;=Assumptions!$D$33,Assumptions!$I$33+(M17-Assumptions!$C$33)/(Assumptions!$D$33-Assumptions!$C$33)*(Assumptions!$J$33-Assumptions!$I$33),IF(M17&lt;=Assumptions!$E$33,Assumptions!$J$33+(M17-Assumptions!$D$33)/(Assumptions!$E$33-Assumptions!$D$33)*(Assumptions!$K$33-Assumptions!$J$33),IF(M17&lt;=Assumptions!$F$33,Assumptions!$K$33+(M17-Assumptions!$E$33)/(Assumptions!$F$33-Assumptions!$E$33)*(Assumptions!$L$33-Assumptions!$K$33),IF(M17&lt;=Assumptions!$G$33,Assumptions!$L$33+(M17-Assumptions!$F$33)/(Assumptions!$G$33-Assumptions!$F$33)*(Assumptions!$M$33-Assumptions!$L$33),Assumptions!$M$33))))))</f>
        <v>38.5</v>
      </c>
      <c r="V17" s="19" t="n">
        <f aca="false">IF(N17&lt;=Assumptions!$B$34,Assumptions!$H$34,IF(N17&lt;=Assumptions!$C$34,Assumptions!$H$34+(N17-Assumptions!$B$34)/(Assumptions!$C$34-Assumptions!$B$34)*(Assumptions!$I$34-Assumptions!$H$34),IF(N17&lt;=Assumptions!$D$34,Assumptions!$I$34+(N17-Assumptions!$C$34)/(Assumptions!$D$34-Assumptions!$C$34)*(Assumptions!$J$34-Assumptions!$I$34),IF(N17&lt;=Assumptions!$E$34,Assumptions!$J$34+(N17-Assumptions!$D$34)/(Assumptions!$E$34-Assumptions!$D$34)*(Assumptions!$K$34-Assumptions!$J$34),IF(N17&lt;=Assumptions!$F$34,Assumptions!$K$34+(N17-Assumptions!$E$34)/(Assumptions!$F$34-Assumptions!$E$34)*(Assumptions!$L$34-Assumptions!$K$34),IF(N17&lt;=Assumptions!$G$34,Assumptions!$L$34+(N17-Assumptions!$F$34)/(Assumptions!$G$34-Assumptions!$F$34)*(Assumptions!$M$34-Assumptions!$L$34),Assumptions!$M$34))))))</f>
        <v>4</v>
      </c>
      <c r="W17" s="19" t="n">
        <f aca="false">IF(S17="",PERCENTILE($S$6:$S$30,Assumptions!$B$36),S17)</f>
        <v>24</v>
      </c>
      <c r="X17" s="19" t="n">
        <f aca="false">IF(T17="",PERCENTILE($T$6:$T$30,Assumptions!$B$36),T17)</f>
        <v>19.2</v>
      </c>
      <c r="Y17" s="19" t="n">
        <f aca="false">IF(O17="",PERCENTILE($O$6:$O$30,Assumptions!$B$36),O17)</f>
        <v>54</v>
      </c>
      <c r="Z17" s="19" t="n">
        <f aca="false">W17*Assumptions!$B$16+X17*Assumptions!$B$17</f>
        <v>21.6</v>
      </c>
      <c r="AA17" s="19" t="n">
        <f aca="false">U17*Assumptions!$B$18+V17*Assumptions!$B$19</f>
        <v>21.25</v>
      </c>
      <c r="AB17" s="19" t="n">
        <f aca="false">AVERAGE(P17:R17)</f>
        <v>24.3333333333333</v>
      </c>
      <c r="AC17" s="16" t="n">
        <v>0</v>
      </c>
      <c r="AD17" s="20" t="n">
        <f aca="false">MIN(100,Z17*Assumptions!$B$11+AA17*Assumptions!$B$12+Y17*Assumptions!$B$13+AB17*Assumptions!$B$14+AC17*Assumptions!$B$20)</f>
        <v>27.0383333333333</v>
      </c>
      <c r="AE17" s="21" t="n">
        <f aca="false">MIN(1,SUMIFS(Network!$V$15:$V$30,Network!$D$15:$D$30,$A17,Network!$U$15:$U$30,1))</f>
        <v>1</v>
      </c>
      <c r="AF17" s="21" t="n">
        <f aca="false">MIN(1,SUMIFS(Network!$W$15:$W$30,Network!$D$15:$D$30,$A17,Network!$U$15:$U$30,1))</f>
        <v>1</v>
      </c>
      <c r="AG17" s="21" t="n">
        <f aca="false">MIN(1,SUMIFS(Network!$X$15:$X$30,Network!$D$15:$D$30,$A17,Network!$U$15:$U$30,1))</f>
        <v>1</v>
      </c>
      <c r="AH17" s="22" t="n">
        <f aca="false">AE17*Assumptions!$B$5+AF17*Assumptions!$B$6+AG17*Assumptions!$B$7</f>
        <v>1560</v>
      </c>
      <c r="AI17" s="23" t="n">
        <f aca="false">AH17/Assumptions!$B$8</f>
        <v>1</v>
      </c>
      <c r="AJ17" s="24" t="n">
        <f aca="false">AH17/52</f>
        <v>30</v>
      </c>
      <c r="AK17" s="22" t="n">
        <f aca="false">AJ17*I17</f>
        <v>780</v>
      </c>
      <c r="AL17" s="19" t="n">
        <f aca="false">MIN(100,I17/Assumptions!$B$26*100)</f>
        <v>72.2222222222222</v>
      </c>
      <c r="AM17" s="19" t="n">
        <f aca="false">MIN(100,H17/Assumptions!$B$27*100)</f>
        <v>66.6666666666667</v>
      </c>
      <c r="AN17" s="20" t="n">
        <f aca="false">AI17*100*Assumptions!$B$23+AL17*Assumptions!$B$24+AM17*Assumptions!$B$25</f>
        <v>85</v>
      </c>
      <c r="AO17" s="25" t="n">
        <f aca="false">AN17*AD17/100</f>
        <v>22.9825833333333</v>
      </c>
      <c r="AP17" s="6" t="n">
        <f aca="false">RANK(AO17,$AO$6:$AO$30)+COUNTIF($AO$6:AO17,AO17)-1</f>
        <v>12</v>
      </c>
      <c r="AQ17" s="6" t="str">
        <f aca="false">IF(AO17&gt;=Assumptions!$B$39,"Critical",IF(AO17&gt;=Assumptions!$B$40,"High",IF(AO17&gt;=Assumptions!$B$41,"Elevated","Watch")))</f>
        <v>Elevated</v>
      </c>
      <c r="AR17" s="6" t="str">
        <f aca="false">IF(AND(AN17&gt;=Assumptions!$B$42,AD17&gt;=Assumptions!$B$43),"Act now",IF(AN17&gt;=Assumptions!$B$42,"Protect (structural)",IF(AD17&gt;=Assumptions!$B$43,"Remediate supplier","Routine")))</f>
        <v>Protect (structural)</v>
      </c>
      <c r="AS17" s="6" t="n">
        <f aca="false">_xlfn.MAXIFS(Network!$T$5:$T$36,Network!$D$5:$D$36,$A17)</f>
        <v>2</v>
      </c>
      <c r="AT17" s="6" t="n">
        <f aca="false">COUNT(K17:R17)</f>
        <v>8</v>
      </c>
      <c r="AU17" s="6" t="n">
        <f aca="false">IF(AT17&gt;=8,2,IF(AT17&gt;=6,1,0))</f>
        <v>2</v>
      </c>
      <c r="AV17" s="6" t="n">
        <f aca="false">IF(OR(C17=1,LEFT(G17,9)="Confirmed"),1,0)</f>
        <v>0</v>
      </c>
      <c r="AW17" s="6" t="n">
        <f aca="false">AS17+AU17+AV17</f>
        <v>4</v>
      </c>
      <c r="AX17" s="26" t="str">
        <f aca="false">IF(AW17&gt;=Assumptions!$B$44,"High",IF(AW17&gt;=Assumptions!$B$45,"Medium","Low"))</f>
        <v>Medium</v>
      </c>
      <c r="AY17" s="14" t="str">
        <f aca="false">IF(OR(AQ17="Critical",AQ17="High"),IF(AX17="Low","VERIFY first – urgent sub-tier fact-find",IF(OR(AQ17="Critical",AV17=1),"ACT – mitigate now","CONFIRM sole-source status, then qualify alternate")),IF(AQ17="Elevated",IF(AX17="Low","VERIFY – add to N-tier survey","PLAN – qualify alternate in 90 days"),"MONITOR – quarterly review"))</f>
        <v>PLAN – qualify alternate in 90 days</v>
      </c>
      <c r="AZ17" s="14" t="str">
        <f aca="false">IF(K17&amp;L17&amp;O17&lt;&gt;"",IF(OR(K17="",L17="",O17=""),TRIM(IF(K17="","Current ratio; ","")&amp;IF(L17="","Net debt/EBITDA; ","")&amp;IF(O17="","Assurance gap","")),"—"),"Current ratio; Net debt/EBITDA; Assurance gap")</f>
        <v>—</v>
      </c>
    </row>
    <row r="18" customFormat="false" ht="23.85" hidden="false" customHeight="false" outlineLevel="0" collapsed="false">
      <c r="A18" s="6" t="s">
        <v>133</v>
      </c>
      <c r="B18" s="7" t="str">
        <f aca="false">INDEX(Data!$B$5:$B$34,MATCH($A18,Data!$A$5:$A$34,0))</f>
        <v>Lumen Magnetics Ltd.</v>
      </c>
      <c r="C18" s="6" t="n">
        <v>2</v>
      </c>
      <c r="D18" s="14" t="s">
        <v>134</v>
      </c>
      <c r="E18" s="7" t="str">
        <f aca="false">INDEX(Data!$G$38:$G$67,MATCH($A18,Data!$A$38:$A$67,0))</f>
        <v>SITE-095</v>
      </c>
      <c r="F18" s="7" t="str">
        <f aca="false">INDEX(Data!$I$38:$I$67,MATCH($A18,Data!$A$38:$A$67,0))</f>
        <v>Z04</v>
      </c>
      <c r="G18" s="15" t="s">
        <v>131</v>
      </c>
      <c r="H18" s="16" t="n">
        <v>2</v>
      </c>
      <c r="I18" s="17" t="n">
        <v>10</v>
      </c>
      <c r="J18" s="14" t="s">
        <v>135</v>
      </c>
      <c r="K18" s="18" t="n">
        <f aca="false">IF(INDEX(Data!$C$5:$C$34,MATCH($A18,Data!$A$5:$A$34,0))="","",INDEX(Data!$C$5:$C$34,MATCH($A18,Data!$A$5:$A$34,0)))</f>
        <v>1.37</v>
      </c>
      <c r="L18" s="18" t="n">
        <f aca="false">IF(INDEX(Data!$D$5:$D$34,MATCH($A18,Data!$A$5:$A$34,0))="","",INDEX(Data!$D$5:$D$34,MATCH($A18,Data!$A$5:$A$34,0)))</f>
        <v>3</v>
      </c>
      <c r="M18" s="8" t="n">
        <f aca="false">IF(INDEX(Data!$E$5:$E$34,MATCH($A18,Data!$A$5:$A$34,0))="","",INDEX(Data!$E$5:$E$34,MATCH($A18,Data!$A$5:$A$34,0)))</f>
        <v>89.5</v>
      </c>
      <c r="N18" s="8" t="n">
        <f aca="false">IF(INDEX(Data!$F$5:$F$34,MATCH($A18,Data!$A$5:$A$34,0))="","",INDEX(Data!$F$5:$F$34,MATCH($A18,Data!$A$5:$A$34,0)))</f>
        <v>-0.6</v>
      </c>
      <c r="O18" s="8" t="n">
        <f aca="false">IF(INDEX(Data!$G$5:$G$34,MATCH($A18,Data!$A$5:$A$34,0))="","",INDEX(Data!$G$5:$G$34,MATCH($A18,Data!$A$5:$A$34,0)))</f>
        <v>63</v>
      </c>
      <c r="P18" s="8" t="n">
        <f aca="false">IF(INDEX(Data!$H$5:$H$34,MATCH($A18,Data!$A$5:$A$34,0))="","",INDEX(Data!$H$5:$H$34,MATCH($A18,Data!$A$5:$A$34,0)))</f>
        <v>58</v>
      </c>
      <c r="Q18" s="8" t="n">
        <f aca="false">IF(INDEX(Data!$I$5:$I$34,MATCH($A18,Data!$A$5:$A$34,0))="","",INDEX(Data!$I$5:$I$34,MATCH($A18,Data!$A$5:$A$34,0)))</f>
        <v>62</v>
      </c>
      <c r="R18" s="8" t="n">
        <f aca="false">IF(INDEX(Data!$J$5:$J$34,MATCH($A18,Data!$A$5:$A$34,0))="","",INDEX(Data!$J$5:$J$34,MATCH($A18,Data!$A$5:$A$34,0)))</f>
        <v>52</v>
      </c>
      <c r="S18" s="19" t="n">
        <f aca="false">IF(L18="","",IF(L18&lt;=Assumptions!$B$31,Assumptions!$H$31,IF(L18&lt;=Assumptions!$C$31,Assumptions!$H$31+(L18-Assumptions!$B$31)/(Assumptions!$C$31-Assumptions!$B$31)*(Assumptions!$I$31-Assumptions!$H$31),IF(L18&lt;=Assumptions!$D$31,Assumptions!$I$31+(L18-Assumptions!$C$31)/(Assumptions!$D$31-Assumptions!$C$31)*(Assumptions!$J$31-Assumptions!$I$31),IF(L18&lt;=Assumptions!$E$31,Assumptions!$J$31+(L18-Assumptions!$D$31)/(Assumptions!$E$31-Assumptions!$D$31)*(Assumptions!$K$31-Assumptions!$J$31),IF(L18&lt;=Assumptions!$F$31,Assumptions!$K$31+(L18-Assumptions!$E$31)/(Assumptions!$F$31-Assumptions!$E$31)*(Assumptions!$L$31-Assumptions!$K$31),IF(L18&lt;=Assumptions!$G$31,Assumptions!$L$31+(L18-Assumptions!$F$31)/(Assumptions!$G$31-Assumptions!$F$31)*(Assumptions!$M$31-Assumptions!$L$31),Assumptions!$M$31)))))))</f>
        <v>43.3333333333333</v>
      </c>
      <c r="T18" s="19" t="n">
        <f aca="false">IF(K18="","",IF(K18&lt;=Assumptions!$B$32,Assumptions!$H$32,IF(K18&lt;=Assumptions!$C$32,Assumptions!$H$32+(K18-Assumptions!$B$32)/(Assumptions!$C$32-Assumptions!$B$32)*(Assumptions!$I$32-Assumptions!$H$32),IF(K18&lt;=Assumptions!$D$32,Assumptions!$I$32+(K18-Assumptions!$C$32)/(Assumptions!$D$32-Assumptions!$C$32)*(Assumptions!$J$32-Assumptions!$I$32),IF(K18&lt;=Assumptions!$E$32,Assumptions!$J$32+(K18-Assumptions!$D$32)/(Assumptions!$E$32-Assumptions!$D$32)*(Assumptions!$K$32-Assumptions!$J$32),IF(K18&lt;=Assumptions!$F$32,Assumptions!$K$32+(K18-Assumptions!$E$32)/(Assumptions!$F$32-Assumptions!$E$32)*(Assumptions!$L$32-Assumptions!$K$32),IF(K18&lt;=Assumptions!$G$32,Assumptions!$L$32+(K18-Assumptions!$F$32)/(Assumptions!$G$32-Assumptions!$F$32)*(Assumptions!$M$32-Assumptions!$L$32),Assumptions!$M$32)))))))</f>
        <v>40.4</v>
      </c>
      <c r="U18" s="19" t="n">
        <f aca="false">IF(M18&lt;=Assumptions!$B$33,Assumptions!$H$33,IF(M18&lt;=Assumptions!$C$33,Assumptions!$H$33+(M18-Assumptions!$B$33)/(Assumptions!$C$33-Assumptions!$B$33)*(Assumptions!$I$33-Assumptions!$H$33),IF(M18&lt;=Assumptions!$D$33,Assumptions!$I$33+(M18-Assumptions!$C$33)/(Assumptions!$D$33-Assumptions!$C$33)*(Assumptions!$J$33-Assumptions!$I$33),IF(M18&lt;=Assumptions!$E$33,Assumptions!$J$33+(M18-Assumptions!$D$33)/(Assumptions!$E$33-Assumptions!$D$33)*(Assumptions!$K$33-Assumptions!$J$33),IF(M18&lt;=Assumptions!$F$33,Assumptions!$K$33+(M18-Assumptions!$E$33)/(Assumptions!$F$33-Assumptions!$E$33)*(Assumptions!$L$33-Assumptions!$K$33),IF(M18&lt;=Assumptions!$G$33,Assumptions!$L$33+(M18-Assumptions!$F$33)/(Assumptions!$G$33-Assumptions!$F$33)*(Assumptions!$M$33-Assumptions!$L$33),Assumptions!$M$33))))))</f>
        <v>27.5</v>
      </c>
      <c r="V18" s="19" t="n">
        <f aca="false">IF(N18&lt;=Assumptions!$B$34,Assumptions!$H$34,IF(N18&lt;=Assumptions!$C$34,Assumptions!$H$34+(N18-Assumptions!$B$34)/(Assumptions!$C$34-Assumptions!$B$34)*(Assumptions!$I$34-Assumptions!$H$34),IF(N18&lt;=Assumptions!$D$34,Assumptions!$I$34+(N18-Assumptions!$C$34)/(Assumptions!$D$34-Assumptions!$C$34)*(Assumptions!$J$34-Assumptions!$I$34),IF(N18&lt;=Assumptions!$E$34,Assumptions!$J$34+(N18-Assumptions!$D$34)/(Assumptions!$E$34-Assumptions!$D$34)*(Assumptions!$K$34-Assumptions!$J$34),IF(N18&lt;=Assumptions!$F$34,Assumptions!$K$34+(N18-Assumptions!$E$34)/(Assumptions!$F$34-Assumptions!$E$34)*(Assumptions!$L$34-Assumptions!$K$34),IF(N18&lt;=Assumptions!$G$34,Assumptions!$L$34+(N18-Assumptions!$F$34)/(Assumptions!$G$34-Assumptions!$F$34)*(Assumptions!$M$34-Assumptions!$L$34),Assumptions!$M$34))))))</f>
        <v>24.5</v>
      </c>
      <c r="W18" s="19" t="n">
        <f aca="false">IF(S18="",PERCENTILE($S$6:$S$30,Assumptions!$B$36),S18)</f>
        <v>43.3333333333333</v>
      </c>
      <c r="X18" s="19" t="n">
        <f aca="false">IF(T18="",PERCENTILE($T$6:$T$30,Assumptions!$B$36),T18)</f>
        <v>40.4</v>
      </c>
      <c r="Y18" s="19" t="n">
        <f aca="false">IF(O18="",PERCENTILE($O$6:$O$30,Assumptions!$B$36),O18)</f>
        <v>63</v>
      </c>
      <c r="Z18" s="19" t="n">
        <f aca="false">W18*Assumptions!$B$16+X18*Assumptions!$B$17</f>
        <v>41.8666666666667</v>
      </c>
      <c r="AA18" s="19" t="n">
        <f aca="false">U18*Assumptions!$B$18+V18*Assumptions!$B$19</f>
        <v>26</v>
      </c>
      <c r="AB18" s="19" t="n">
        <f aca="false">AVERAGE(P18:R18)</f>
        <v>57.3333333333333</v>
      </c>
      <c r="AC18" s="16" t="n">
        <v>0</v>
      </c>
      <c r="AD18" s="20" t="n">
        <f aca="false">MIN(100,Z18*Assumptions!$B$11+AA18*Assumptions!$B$12+Y18*Assumptions!$B$13+AB18*Assumptions!$B$14+AC18*Assumptions!$B$20)</f>
        <v>44.1433333333333</v>
      </c>
      <c r="AE18" s="21" t="n">
        <f aca="false">MIN(1,SUMIFS(Network!$V$15:$V$30,Network!$D$15:$D$30,$A18,Network!$U$15:$U$30,1))</f>
        <v>1</v>
      </c>
      <c r="AF18" s="21" t="n">
        <f aca="false">MIN(1,SUMIFS(Network!$W$15:$W$30,Network!$D$15:$D$30,$A18,Network!$U$15:$U$30,1))</f>
        <v>1</v>
      </c>
      <c r="AG18" s="21" t="n">
        <f aca="false">MIN(1,SUMIFS(Network!$X$15:$X$30,Network!$D$15:$D$30,$A18,Network!$U$15:$U$30,1))</f>
        <v>1</v>
      </c>
      <c r="AH18" s="22" t="n">
        <f aca="false">AE18*Assumptions!$B$5+AF18*Assumptions!$B$6+AG18*Assumptions!$B$7</f>
        <v>1560</v>
      </c>
      <c r="AI18" s="23" t="n">
        <f aca="false">AH18/Assumptions!$B$8</f>
        <v>1</v>
      </c>
      <c r="AJ18" s="24" t="n">
        <f aca="false">AH18/52</f>
        <v>30</v>
      </c>
      <c r="AK18" s="22" t="n">
        <f aca="false">AJ18*I18</f>
        <v>300</v>
      </c>
      <c r="AL18" s="19" t="n">
        <f aca="false">MIN(100,I18/Assumptions!$B$26*100)</f>
        <v>27.7777777777778</v>
      </c>
      <c r="AM18" s="19" t="n">
        <f aca="false">MIN(100,H18/Assumptions!$B$27*100)</f>
        <v>66.6666666666667</v>
      </c>
      <c r="AN18" s="20" t="n">
        <f aca="false">AI18*100*Assumptions!$B$23+AL18*Assumptions!$B$24+AM18*Assumptions!$B$25</f>
        <v>71.6666666666667</v>
      </c>
      <c r="AO18" s="25" t="n">
        <f aca="false">AN18*AD18/100</f>
        <v>31.6360555555556</v>
      </c>
      <c r="AP18" s="6" t="n">
        <f aca="false">RANK(AO18,$AO$6:$AO$30)+COUNTIF($AO$6:AO18,AO18)-1</f>
        <v>7</v>
      </c>
      <c r="AQ18" s="6" t="str">
        <f aca="false">IF(AO18&gt;=Assumptions!$B$39,"Critical",IF(AO18&gt;=Assumptions!$B$40,"High",IF(AO18&gt;=Assumptions!$B$41,"Elevated","Watch")))</f>
        <v>High</v>
      </c>
      <c r="AR18" s="6" t="str">
        <f aca="false">IF(AND(AN18&gt;=Assumptions!$B$42,AD18&gt;=Assumptions!$B$43),"Act now",IF(AN18&gt;=Assumptions!$B$42,"Protect (structural)",IF(AD18&gt;=Assumptions!$B$43,"Remediate supplier","Routine")))</f>
        <v>Protect (structural)</v>
      </c>
      <c r="AS18" s="6" t="n">
        <f aca="false">_xlfn.MAXIFS(Network!$T$5:$T$36,Network!$D$5:$D$36,$A18)</f>
        <v>2</v>
      </c>
      <c r="AT18" s="6" t="n">
        <f aca="false">COUNT(K18:R18)</f>
        <v>8</v>
      </c>
      <c r="AU18" s="6" t="n">
        <f aca="false">IF(AT18&gt;=8,2,IF(AT18&gt;=6,1,0))</f>
        <v>2</v>
      </c>
      <c r="AV18" s="6" t="n">
        <f aca="false">IF(OR(C18=1,LEFT(G18,9)="Confirmed"),1,0)</f>
        <v>0</v>
      </c>
      <c r="AW18" s="6" t="n">
        <f aca="false">AS18+AU18+AV18</f>
        <v>4</v>
      </c>
      <c r="AX18" s="26" t="str">
        <f aca="false">IF(AW18&gt;=Assumptions!$B$44,"High",IF(AW18&gt;=Assumptions!$B$45,"Medium","Low"))</f>
        <v>Medium</v>
      </c>
      <c r="AY18" s="14" t="str">
        <f aca="false">IF(OR(AQ18="Critical",AQ18="High"),IF(AX18="Low","VERIFY first – urgent sub-tier fact-find",IF(OR(AQ18="Critical",AV18=1),"ACT – mitigate now","CONFIRM sole-source status, then qualify alternate")),IF(AQ18="Elevated",IF(AX18="Low","VERIFY – add to N-tier survey","PLAN – qualify alternate in 90 days"),"MONITOR – quarterly review"))</f>
        <v>CONFIRM sole-source status, then qualify alternate</v>
      </c>
      <c r="AZ18" s="14" t="str">
        <f aca="false">IF(K18&amp;L18&amp;O18&lt;&gt;"",IF(OR(K18="",L18="",O18=""),TRIM(IF(K18="","Current ratio; ","")&amp;IF(L18="","Net debt/EBITDA; ","")&amp;IF(O18="","Assurance gap","")),"—"),"Current ratio; Net debt/EBITDA; Assurance gap")</f>
        <v>—</v>
      </c>
    </row>
    <row r="19" customFormat="false" ht="35.05" hidden="false" customHeight="false" outlineLevel="0" collapsed="false">
      <c r="A19" s="6" t="s">
        <v>136</v>
      </c>
      <c r="B19" s="7" t="str">
        <f aca="false">INDEX(Data!$B$5:$B$34,MATCH($A19,Data!$A$5:$A$34,0))</f>
        <v>Orion Ceramics Ltd.</v>
      </c>
      <c r="C19" s="6" t="n">
        <v>2</v>
      </c>
      <c r="D19" s="14" t="s">
        <v>137</v>
      </c>
      <c r="E19" s="7" t="str">
        <f aca="false">INDEX(Data!$G$38:$G$67,MATCH($A19,Data!$A$38:$A$67,0))</f>
        <v>SITE-116</v>
      </c>
      <c r="F19" s="7" t="str">
        <f aca="false">INDEX(Data!$I$38:$I$67,MATCH($A19,Data!$A$38:$A$67,0))</f>
        <v>Z01</v>
      </c>
      <c r="G19" s="15" t="s">
        <v>131</v>
      </c>
      <c r="H19" s="16" t="n">
        <v>2</v>
      </c>
      <c r="I19" s="17" t="n">
        <v>20</v>
      </c>
      <c r="J19" s="14" t="s">
        <v>138</v>
      </c>
      <c r="K19" s="18" t="n">
        <f aca="false">IF(INDEX(Data!$C$5:$C$34,MATCH($A19,Data!$A$5:$A$34,0))="","",INDEX(Data!$C$5:$C$34,MATCH($A19,Data!$A$5:$A$34,0)))</f>
        <v>2.29</v>
      </c>
      <c r="L19" s="18" t="n">
        <f aca="false">IF(INDEX(Data!$D$5:$D$34,MATCH($A19,Data!$A$5:$A$34,0))="","",INDEX(Data!$D$5:$D$34,MATCH($A19,Data!$A$5:$A$34,0)))</f>
        <v>2.67</v>
      </c>
      <c r="M19" s="8" t="n">
        <f aca="false">IF(INDEX(Data!$E$5:$E$34,MATCH($A19,Data!$A$5:$A$34,0))="","",INDEX(Data!$E$5:$E$34,MATCH($A19,Data!$A$5:$A$34,0)))</f>
        <v>82.2</v>
      </c>
      <c r="N19" s="8" t="n">
        <f aca="false">IF(INDEX(Data!$F$5:$F$34,MATCH($A19,Data!$A$5:$A$34,0))="","",INDEX(Data!$F$5:$F$34,MATCH($A19,Data!$A$5:$A$34,0)))</f>
        <v>0.7</v>
      </c>
      <c r="O19" s="8" t="n">
        <f aca="false">IF(INDEX(Data!$G$5:$G$34,MATCH($A19,Data!$A$5:$A$34,0))="","",INDEX(Data!$G$5:$G$34,MATCH($A19,Data!$A$5:$A$34,0)))</f>
        <v>30</v>
      </c>
      <c r="P19" s="8" t="n">
        <f aca="false">IF(INDEX(Data!$H$5:$H$34,MATCH($A19,Data!$A$5:$A$34,0))="","",INDEX(Data!$H$5:$H$34,MATCH($A19,Data!$A$5:$A$34,0)))</f>
        <v>82</v>
      </c>
      <c r="Q19" s="8" t="n">
        <f aca="false">IF(INDEX(Data!$I$5:$I$34,MATCH($A19,Data!$A$5:$A$34,0))="","",INDEX(Data!$I$5:$I$34,MATCH($A19,Data!$A$5:$A$34,0)))</f>
        <v>76</v>
      </c>
      <c r="R19" s="8" t="n">
        <f aca="false">IF(INDEX(Data!$J$5:$J$34,MATCH($A19,Data!$A$5:$A$34,0))="","",INDEX(Data!$J$5:$J$34,MATCH($A19,Data!$A$5:$A$34,0)))</f>
        <v>71</v>
      </c>
      <c r="S19" s="19" t="n">
        <f aca="false">IF(L19="","",IF(L19&lt;=Assumptions!$B$31,Assumptions!$H$31,IF(L19&lt;=Assumptions!$C$31,Assumptions!$H$31+(L19-Assumptions!$B$31)/(Assumptions!$C$31-Assumptions!$B$31)*(Assumptions!$I$31-Assumptions!$H$31),IF(L19&lt;=Assumptions!$D$31,Assumptions!$I$31+(L19-Assumptions!$C$31)/(Assumptions!$D$31-Assumptions!$C$31)*(Assumptions!$J$31-Assumptions!$I$31),IF(L19&lt;=Assumptions!$E$31,Assumptions!$J$31+(L19-Assumptions!$D$31)/(Assumptions!$E$31-Assumptions!$D$31)*(Assumptions!$K$31-Assumptions!$J$31),IF(L19&lt;=Assumptions!$F$31,Assumptions!$K$31+(L19-Assumptions!$E$31)/(Assumptions!$F$31-Assumptions!$E$31)*(Assumptions!$L$31-Assumptions!$K$31),IF(L19&lt;=Assumptions!$G$31,Assumptions!$L$31+(L19-Assumptions!$F$31)/(Assumptions!$G$31-Assumptions!$F$31)*(Assumptions!$M$31-Assumptions!$L$31),Assumptions!$M$31)))))))</f>
        <v>34.5333333333333</v>
      </c>
      <c r="T19" s="19" t="n">
        <f aca="false">IF(K19="","",IF(K19&lt;=Assumptions!$B$32,Assumptions!$H$32,IF(K19&lt;=Assumptions!$C$32,Assumptions!$H$32+(K19-Assumptions!$B$32)/(Assumptions!$C$32-Assumptions!$B$32)*(Assumptions!$I$32-Assumptions!$H$32),IF(K19&lt;=Assumptions!$D$32,Assumptions!$I$32+(K19-Assumptions!$C$32)/(Assumptions!$D$32-Assumptions!$C$32)*(Assumptions!$J$32-Assumptions!$I$32),IF(K19&lt;=Assumptions!$E$32,Assumptions!$J$32+(K19-Assumptions!$D$32)/(Assumptions!$E$32-Assumptions!$D$32)*(Assumptions!$K$32-Assumptions!$J$32),IF(K19&lt;=Assumptions!$F$32,Assumptions!$K$32+(K19-Assumptions!$E$32)/(Assumptions!$F$32-Assumptions!$E$32)*(Assumptions!$L$32-Assumptions!$K$32),IF(K19&lt;=Assumptions!$G$32,Assumptions!$L$32+(K19-Assumptions!$F$32)/(Assumptions!$G$32-Assumptions!$F$32)*(Assumptions!$M$32-Assumptions!$L$32),Assumptions!$M$32)))))))</f>
        <v>6.3</v>
      </c>
      <c r="U19" s="19" t="n">
        <f aca="false">IF(M19&lt;=Assumptions!$B$33,Assumptions!$H$33,IF(M19&lt;=Assumptions!$C$33,Assumptions!$H$33+(M19-Assumptions!$B$33)/(Assumptions!$C$33-Assumptions!$B$33)*(Assumptions!$I$33-Assumptions!$H$33),IF(M19&lt;=Assumptions!$D$33,Assumptions!$I$33+(M19-Assumptions!$C$33)/(Assumptions!$D$33-Assumptions!$C$33)*(Assumptions!$J$33-Assumptions!$I$33),IF(M19&lt;=Assumptions!$E$33,Assumptions!$J$33+(M19-Assumptions!$D$33)/(Assumptions!$E$33-Assumptions!$D$33)*(Assumptions!$K$33-Assumptions!$J$33),IF(M19&lt;=Assumptions!$F$33,Assumptions!$K$33+(M19-Assumptions!$E$33)/(Assumptions!$F$33-Assumptions!$E$33)*(Assumptions!$L$33-Assumptions!$K$33),IF(M19&lt;=Assumptions!$G$33,Assumptions!$L$33+(M19-Assumptions!$F$33)/(Assumptions!$G$33-Assumptions!$F$33)*(Assumptions!$M$33-Assumptions!$L$33),Assumptions!$M$33))))))</f>
        <v>64</v>
      </c>
      <c r="V19" s="19" t="n">
        <f aca="false">IF(N19&lt;=Assumptions!$B$34,Assumptions!$H$34,IF(N19&lt;=Assumptions!$C$34,Assumptions!$H$34+(N19-Assumptions!$B$34)/(Assumptions!$C$34-Assumptions!$B$34)*(Assumptions!$I$34-Assumptions!$H$34),IF(N19&lt;=Assumptions!$D$34,Assumptions!$I$34+(N19-Assumptions!$C$34)/(Assumptions!$D$34-Assumptions!$C$34)*(Assumptions!$J$34-Assumptions!$I$34),IF(N19&lt;=Assumptions!$E$34,Assumptions!$J$34+(N19-Assumptions!$D$34)/(Assumptions!$E$34-Assumptions!$D$34)*(Assumptions!$K$34-Assumptions!$J$34),IF(N19&lt;=Assumptions!$F$34,Assumptions!$K$34+(N19-Assumptions!$E$34)/(Assumptions!$F$34-Assumptions!$E$34)*(Assumptions!$L$34-Assumptions!$K$34),IF(N19&lt;=Assumptions!$G$34,Assumptions!$L$34+(N19-Assumptions!$F$34)/(Assumptions!$G$34-Assumptions!$F$34)*(Assumptions!$M$34-Assumptions!$L$34),Assumptions!$M$34))))))</f>
        <v>13</v>
      </c>
      <c r="W19" s="19" t="n">
        <f aca="false">IF(S19="",PERCENTILE($S$6:$S$30,Assumptions!$B$36),S19)</f>
        <v>34.5333333333333</v>
      </c>
      <c r="X19" s="19" t="n">
        <f aca="false">IF(T19="",PERCENTILE($T$6:$T$30,Assumptions!$B$36),T19)</f>
        <v>6.3</v>
      </c>
      <c r="Y19" s="19" t="n">
        <f aca="false">IF(O19="",PERCENTILE($O$6:$O$30,Assumptions!$B$36),O19)</f>
        <v>30</v>
      </c>
      <c r="Z19" s="19" t="n">
        <f aca="false">W19*Assumptions!$B$16+X19*Assumptions!$B$17</f>
        <v>20.4166666666667</v>
      </c>
      <c r="AA19" s="19" t="n">
        <f aca="false">U19*Assumptions!$B$18+V19*Assumptions!$B$19</f>
        <v>38.5</v>
      </c>
      <c r="AB19" s="19" t="n">
        <f aca="false">AVERAGE(P19:R19)</f>
        <v>76.3333333333333</v>
      </c>
      <c r="AC19" s="16" t="n">
        <v>0</v>
      </c>
      <c r="AD19" s="20" t="n">
        <f aca="false">MIN(100,Z19*Assumptions!$B$11+AA19*Assumptions!$B$12+Y19*Assumptions!$B$13+AB19*Assumptions!$B$14+AC19*Assumptions!$B$20)</f>
        <v>41.2583333333333</v>
      </c>
      <c r="AE19" s="21" t="n">
        <f aca="false">MIN(1,SUMIFS(Network!$V$15:$V$30,Network!$D$15:$D$30,$A19,Network!$U$15:$U$30,1))</f>
        <v>1</v>
      </c>
      <c r="AF19" s="21" t="n">
        <f aca="false">MIN(1,SUMIFS(Network!$W$15:$W$30,Network!$D$15:$D$30,$A19,Network!$U$15:$U$30,1))</f>
        <v>1</v>
      </c>
      <c r="AG19" s="21" t="n">
        <f aca="false">MIN(1,SUMIFS(Network!$X$15:$X$30,Network!$D$15:$D$30,$A19,Network!$U$15:$U$30,1))</f>
        <v>1</v>
      </c>
      <c r="AH19" s="22" t="n">
        <f aca="false">AE19*Assumptions!$B$5+AF19*Assumptions!$B$6+AG19*Assumptions!$B$7</f>
        <v>1560</v>
      </c>
      <c r="AI19" s="23" t="n">
        <f aca="false">AH19/Assumptions!$B$8</f>
        <v>1</v>
      </c>
      <c r="AJ19" s="24" t="n">
        <f aca="false">AH19/52</f>
        <v>30</v>
      </c>
      <c r="AK19" s="22" t="n">
        <f aca="false">AJ19*I19</f>
        <v>600</v>
      </c>
      <c r="AL19" s="19" t="n">
        <f aca="false">MIN(100,I19/Assumptions!$B$26*100)</f>
        <v>55.5555555555556</v>
      </c>
      <c r="AM19" s="19" t="n">
        <f aca="false">MIN(100,H19/Assumptions!$B$27*100)</f>
        <v>66.6666666666667</v>
      </c>
      <c r="AN19" s="20" t="n">
        <f aca="false">AI19*100*Assumptions!$B$23+AL19*Assumptions!$B$24+AM19*Assumptions!$B$25</f>
        <v>80</v>
      </c>
      <c r="AO19" s="25" t="n">
        <f aca="false">AN19*AD19/100</f>
        <v>33.0066666666667</v>
      </c>
      <c r="AP19" s="6" t="n">
        <f aca="false">RANK(AO19,$AO$6:$AO$30)+COUNTIF($AO$6:AO19,AO19)-1</f>
        <v>6</v>
      </c>
      <c r="AQ19" s="6" t="str">
        <f aca="false">IF(AO19&gt;=Assumptions!$B$39,"Critical",IF(AO19&gt;=Assumptions!$B$40,"High",IF(AO19&gt;=Assumptions!$B$41,"Elevated","Watch")))</f>
        <v>High</v>
      </c>
      <c r="AR19" s="6" t="str">
        <f aca="false">IF(AND(AN19&gt;=Assumptions!$B$42,AD19&gt;=Assumptions!$B$43),"Act now",IF(AN19&gt;=Assumptions!$B$42,"Protect (structural)",IF(AD19&gt;=Assumptions!$B$43,"Remediate supplier","Routine")))</f>
        <v>Protect (structural)</v>
      </c>
      <c r="AS19" s="6" t="n">
        <f aca="false">_xlfn.MAXIFS(Network!$T$5:$T$36,Network!$D$5:$D$36,$A19)</f>
        <v>2</v>
      </c>
      <c r="AT19" s="6" t="n">
        <f aca="false">COUNT(K19:R19)</f>
        <v>8</v>
      </c>
      <c r="AU19" s="6" t="n">
        <f aca="false">IF(AT19&gt;=8,2,IF(AT19&gt;=6,1,0))</f>
        <v>2</v>
      </c>
      <c r="AV19" s="6" t="n">
        <f aca="false">IF(OR(C19=1,LEFT(G19,9)="Confirmed"),1,0)</f>
        <v>0</v>
      </c>
      <c r="AW19" s="6" t="n">
        <f aca="false">AS19+AU19+AV19</f>
        <v>4</v>
      </c>
      <c r="AX19" s="26" t="str">
        <f aca="false">IF(AW19&gt;=Assumptions!$B$44,"High",IF(AW19&gt;=Assumptions!$B$45,"Medium","Low"))</f>
        <v>Medium</v>
      </c>
      <c r="AY19" s="14" t="str">
        <f aca="false">IF(OR(AQ19="Critical",AQ19="High"),IF(AX19="Low","VERIFY first – urgent sub-tier fact-find",IF(OR(AQ19="Critical",AV19=1),"ACT – mitigate now","CONFIRM sole-source status, then qualify alternate")),IF(AQ19="Elevated",IF(AX19="Low","VERIFY – add to N-tier survey","PLAN – qualify alternate in 90 days"),"MONITOR – quarterly review"))</f>
        <v>CONFIRM sole-source status, then qualify alternate</v>
      </c>
      <c r="AZ19" s="14" t="str">
        <f aca="false">IF(K19&amp;L19&amp;O19&lt;&gt;"",IF(OR(K19="",L19="",O19=""),TRIM(IF(K19="","Current ratio; ","")&amp;IF(L19="","Net debt/EBITDA; ","")&amp;IF(O19="","Assurance gap","")),"—"),"Current ratio; Net debt/EBITDA; Assurance gap")</f>
        <v>—</v>
      </c>
    </row>
    <row r="20" customFormat="false" ht="23.85" hidden="false" customHeight="false" outlineLevel="0" collapsed="false">
      <c r="A20" s="6" t="s">
        <v>139</v>
      </c>
      <c r="B20" s="7" t="str">
        <f aca="false">INDEX(Data!$B$5:$B$34,MATCH($A20,Data!$A$5:$A$34,0))</f>
        <v>Rill Connectors Ltd.</v>
      </c>
      <c r="C20" s="6" t="n">
        <v>2</v>
      </c>
      <c r="D20" s="14" t="s">
        <v>140</v>
      </c>
      <c r="E20" s="7" t="str">
        <f aca="false">INDEX(Data!$G$38:$G$67,MATCH($A20,Data!$A$38:$A$67,0))</f>
        <v>SITE-137</v>
      </c>
      <c r="F20" s="7" t="str">
        <f aca="false">INDEX(Data!$I$38:$I$67,MATCH($A20,Data!$A$38:$A$67,0))</f>
        <v>Z04</v>
      </c>
      <c r="G20" s="15" t="s">
        <v>131</v>
      </c>
      <c r="H20" s="16" t="n">
        <v>1</v>
      </c>
      <c r="I20" s="17" t="n">
        <v>6</v>
      </c>
      <c r="J20" s="14" t="s">
        <v>141</v>
      </c>
      <c r="K20" s="18" t="n">
        <f aca="false">IF(INDEX(Data!$C$5:$C$34,MATCH($A20,Data!$A$5:$A$34,0))="","",INDEX(Data!$C$5:$C$34,MATCH($A20,Data!$A$5:$A$34,0)))</f>
        <v>2.04</v>
      </c>
      <c r="L20" s="18" t="n">
        <f aca="false">IF(INDEX(Data!$D$5:$D$34,MATCH($A20,Data!$A$5:$A$34,0))="","",INDEX(Data!$D$5:$D$34,MATCH($A20,Data!$A$5:$A$34,0)))</f>
        <v>2.33</v>
      </c>
      <c r="M20" s="8" t="n">
        <f aca="false">IF(INDEX(Data!$E$5:$E$34,MATCH($A20,Data!$A$5:$A$34,0))="","",INDEX(Data!$E$5:$E$34,MATCH($A20,Data!$A$5:$A$34,0)))</f>
        <v>89.3</v>
      </c>
      <c r="N20" s="8" t="n">
        <f aca="false">IF(INDEX(Data!$F$5:$F$34,MATCH($A20,Data!$A$5:$A$34,0))="","",INDEX(Data!$F$5:$F$34,MATCH($A20,Data!$A$5:$A$34,0)))</f>
        <v>0.3</v>
      </c>
      <c r="O20" s="8" t="n">
        <f aca="false">IF(INDEX(Data!$G$5:$G$34,MATCH($A20,Data!$A$5:$A$34,0))="","",INDEX(Data!$G$5:$G$34,MATCH($A20,Data!$A$5:$A$34,0)))</f>
        <v>57</v>
      </c>
      <c r="P20" s="8" t="n">
        <f aca="false">IF(INDEX(Data!$H$5:$H$34,MATCH($A20,Data!$A$5:$A$34,0))="","",INDEX(Data!$H$5:$H$34,MATCH($A20,Data!$A$5:$A$34,0)))</f>
        <v>58</v>
      </c>
      <c r="Q20" s="8" t="n">
        <f aca="false">IF(INDEX(Data!$I$5:$I$34,MATCH($A20,Data!$A$5:$A$34,0))="","",INDEX(Data!$I$5:$I$34,MATCH($A20,Data!$A$5:$A$34,0)))</f>
        <v>62</v>
      </c>
      <c r="R20" s="8" t="n">
        <f aca="false">IF(INDEX(Data!$J$5:$J$34,MATCH($A20,Data!$A$5:$A$34,0))="","",INDEX(Data!$J$5:$J$34,MATCH($A20,Data!$A$5:$A$34,0)))</f>
        <v>52</v>
      </c>
      <c r="S20" s="19" t="n">
        <f aca="false">IF(L20="","",IF(L20&lt;=Assumptions!$B$31,Assumptions!$H$31,IF(L20&lt;=Assumptions!$C$31,Assumptions!$H$31+(L20-Assumptions!$B$31)/(Assumptions!$C$31-Assumptions!$B$31)*(Assumptions!$I$31-Assumptions!$H$31),IF(L20&lt;=Assumptions!$D$31,Assumptions!$I$31+(L20-Assumptions!$C$31)/(Assumptions!$D$31-Assumptions!$C$31)*(Assumptions!$J$31-Assumptions!$I$31),IF(L20&lt;=Assumptions!$E$31,Assumptions!$J$31+(L20-Assumptions!$D$31)/(Assumptions!$E$31-Assumptions!$D$31)*(Assumptions!$K$31-Assumptions!$J$31),IF(L20&lt;=Assumptions!$F$31,Assumptions!$K$31+(L20-Assumptions!$E$31)/(Assumptions!$F$31-Assumptions!$E$31)*(Assumptions!$L$31-Assumptions!$K$31),IF(L20&lt;=Assumptions!$G$31,Assumptions!$L$31+(L20-Assumptions!$F$31)/(Assumptions!$G$31-Assumptions!$F$31)*(Assumptions!$M$31-Assumptions!$L$31),Assumptions!$M$31)))))))</f>
        <v>27.96</v>
      </c>
      <c r="T20" s="19" t="n">
        <f aca="false">IF(K20="","",IF(K20&lt;=Assumptions!$B$32,Assumptions!$H$32,IF(K20&lt;=Assumptions!$C$32,Assumptions!$H$32+(K20-Assumptions!$B$32)/(Assumptions!$C$32-Assumptions!$B$32)*(Assumptions!$I$32-Assumptions!$H$32),IF(K20&lt;=Assumptions!$D$32,Assumptions!$I$32+(K20-Assumptions!$C$32)/(Assumptions!$D$32-Assumptions!$C$32)*(Assumptions!$J$32-Assumptions!$I$32),IF(K20&lt;=Assumptions!$E$32,Assumptions!$J$32+(K20-Assumptions!$D$32)/(Assumptions!$E$32-Assumptions!$D$32)*(Assumptions!$K$32-Assumptions!$J$32),IF(K20&lt;=Assumptions!$F$32,Assumptions!$K$32+(K20-Assumptions!$E$32)/(Assumptions!$F$32-Assumptions!$E$32)*(Assumptions!$L$32-Assumptions!$K$32),IF(K20&lt;=Assumptions!$G$32,Assumptions!$L$32+(K20-Assumptions!$F$32)/(Assumptions!$G$32-Assumptions!$F$32)*(Assumptions!$M$32-Assumptions!$L$32),Assumptions!$M$32)))))))</f>
        <v>13.8</v>
      </c>
      <c r="U20" s="19" t="n">
        <f aca="false">IF(M20&lt;=Assumptions!$B$33,Assumptions!$H$33,IF(M20&lt;=Assumptions!$C$33,Assumptions!$H$33+(M20-Assumptions!$B$33)/(Assumptions!$C$33-Assumptions!$B$33)*(Assumptions!$I$33-Assumptions!$H$33),IF(M20&lt;=Assumptions!$D$33,Assumptions!$I$33+(M20-Assumptions!$C$33)/(Assumptions!$D$33-Assumptions!$C$33)*(Assumptions!$J$33-Assumptions!$I$33),IF(M20&lt;=Assumptions!$E$33,Assumptions!$J$33+(M20-Assumptions!$D$33)/(Assumptions!$E$33-Assumptions!$D$33)*(Assumptions!$K$33-Assumptions!$J$33),IF(M20&lt;=Assumptions!$F$33,Assumptions!$K$33+(M20-Assumptions!$E$33)/(Assumptions!$F$33-Assumptions!$E$33)*(Assumptions!$L$33-Assumptions!$K$33),IF(M20&lt;=Assumptions!$G$33,Assumptions!$L$33+(M20-Assumptions!$F$33)/(Assumptions!$G$33-Assumptions!$F$33)*(Assumptions!$M$33-Assumptions!$L$33),Assumptions!$M$33))))))</f>
        <v>28.5</v>
      </c>
      <c r="V20" s="19" t="n">
        <f aca="false">IF(N20&lt;=Assumptions!$B$34,Assumptions!$H$34,IF(N20&lt;=Assumptions!$C$34,Assumptions!$H$34+(N20-Assumptions!$B$34)/(Assumptions!$C$34-Assumptions!$B$34)*(Assumptions!$I$34-Assumptions!$H$34),IF(N20&lt;=Assumptions!$D$34,Assumptions!$I$34+(N20-Assumptions!$C$34)/(Assumptions!$D$34-Assumptions!$C$34)*(Assumptions!$J$34-Assumptions!$I$34),IF(N20&lt;=Assumptions!$E$34,Assumptions!$J$34+(N20-Assumptions!$D$34)/(Assumptions!$E$34-Assumptions!$D$34)*(Assumptions!$K$34-Assumptions!$J$34),IF(N20&lt;=Assumptions!$F$34,Assumptions!$K$34+(N20-Assumptions!$E$34)/(Assumptions!$F$34-Assumptions!$E$34)*(Assumptions!$L$34-Assumptions!$K$34),IF(N20&lt;=Assumptions!$G$34,Assumptions!$L$34+(N20-Assumptions!$F$34)/(Assumptions!$G$34-Assumptions!$F$34)*(Assumptions!$M$34-Assumptions!$L$34),Assumptions!$M$34))))))</f>
        <v>17</v>
      </c>
      <c r="W20" s="19" t="n">
        <f aca="false">IF(S20="",PERCENTILE($S$6:$S$30,Assumptions!$B$36),S20)</f>
        <v>27.96</v>
      </c>
      <c r="X20" s="19" t="n">
        <f aca="false">IF(T20="",PERCENTILE($T$6:$T$30,Assumptions!$B$36),T20)</f>
        <v>13.8</v>
      </c>
      <c r="Y20" s="19" t="n">
        <f aca="false">IF(O20="",PERCENTILE($O$6:$O$30,Assumptions!$B$36),O20)</f>
        <v>57</v>
      </c>
      <c r="Z20" s="19" t="n">
        <f aca="false">W20*Assumptions!$B$16+X20*Assumptions!$B$17</f>
        <v>20.88</v>
      </c>
      <c r="AA20" s="19" t="n">
        <f aca="false">U20*Assumptions!$B$18+V20*Assumptions!$B$19</f>
        <v>22.75</v>
      </c>
      <c r="AB20" s="19" t="n">
        <f aca="false">AVERAGE(P20:R20)</f>
        <v>57.3333333333333</v>
      </c>
      <c r="AC20" s="16" t="n">
        <v>0</v>
      </c>
      <c r="AD20" s="20" t="n">
        <f aca="false">MIN(100,Z20*Assumptions!$B$11+AA20*Assumptions!$B$12+Y20*Assumptions!$B$13+AB20*Assumptions!$B$14+AC20*Assumptions!$B$20)</f>
        <v>35.9723333333333</v>
      </c>
      <c r="AE20" s="21" t="n">
        <f aca="false">MIN(1,SUMIFS(Network!$V$15:$V$30,Network!$D$15:$D$30,$A20,Network!$U$15:$U$30,1))</f>
        <v>1</v>
      </c>
      <c r="AF20" s="21" t="n">
        <f aca="false">MIN(1,SUMIFS(Network!$W$15:$W$30,Network!$D$15:$D$30,$A20,Network!$U$15:$U$30,1))</f>
        <v>1</v>
      </c>
      <c r="AG20" s="21" t="n">
        <f aca="false">MIN(1,SUMIFS(Network!$X$15:$X$30,Network!$D$15:$D$30,$A20,Network!$U$15:$U$30,1))</f>
        <v>1</v>
      </c>
      <c r="AH20" s="22" t="n">
        <f aca="false">AE20*Assumptions!$B$5+AF20*Assumptions!$B$6+AG20*Assumptions!$B$7</f>
        <v>1560</v>
      </c>
      <c r="AI20" s="23" t="n">
        <f aca="false">AH20/Assumptions!$B$8</f>
        <v>1</v>
      </c>
      <c r="AJ20" s="24" t="n">
        <f aca="false">AH20/52</f>
        <v>30</v>
      </c>
      <c r="AK20" s="22" t="n">
        <f aca="false">AJ20*I20</f>
        <v>180</v>
      </c>
      <c r="AL20" s="19" t="n">
        <f aca="false">MIN(100,I20/Assumptions!$B$26*100)</f>
        <v>16.6666666666667</v>
      </c>
      <c r="AM20" s="19" t="n">
        <f aca="false">MIN(100,H20/Assumptions!$B$27*100)</f>
        <v>33.3333333333333</v>
      </c>
      <c r="AN20" s="20" t="n">
        <f aca="false">AI20*100*Assumptions!$B$23+AL20*Assumptions!$B$24+AM20*Assumptions!$B$25</f>
        <v>61.6666666666667</v>
      </c>
      <c r="AO20" s="25" t="n">
        <f aca="false">AN20*AD20/100</f>
        <v>22.1829388888889</v>
      </c>
      <c r="AP20" s="6" t="n">
        <f aca="false">RANK(AO20,$AO$6:$AO$30)+COUNTIF($AO$6:AO20,AO20)-1</f>
        <v>13</v>
      </c>
      <c r="AQ20" s="6" t="str">
        <f aca="false">IF(AO20&gt;=Assumptions!$B$39,"Critical",IF(AO20&gt;=Assumptions!$B$40,"High",IF(AO20&gt;=Assumptions!$B$41,"Elevated","Watch")))</f>
        <v>Elevated</v>
      </c>
      <c r="AR20" s="6" t="str">
        <f aca="false">IF(AND(AN20&gt;=Assumptions!$B$42,AD20&gt;=Assumptions!$B$43),"Act now",IF(AN20&gt;=Assumptions!$B$42,"Protect (structural)",IF(AD20&gt;=Assumptions!$B$43,"Remediate supplier","Routine")))</f>
        <v>Protect (structural)</v>
      </c>
      <c r="AS20" s="6" t="n">
        <f aca="false">_xlfn.MAXIFS(Network!$T$5:$T$36,Network!$D$5:$D$36,$A20)</f>
        <v>2</v>
      </c>
      <c r="AT20" s="6" t="n">
        <f aca="false">COUNT(K20:R20)</f>
        <v>8</v>
      </c>
      <c r="AU20" s="6" t="n">
        <f aca="false">IF(AT20&gt;=8,2,IF(AT20&gt;=6,1,0))</f>
        <v>2</v>
      </c>
      <c r="AV20" s="6" t="n">
        <f aca="false">IF(OR(C20=1,LEFT(G20,9)="Confirmed"),1,0)</f>
        <v>0</v>
      </c>
      <c r="AW20" s="6" t="n">
        <f aca="false">AS20+AU20+AV20</f>
        <v>4</v>
      </c>
      <c r="AX20" s="26" t="str">
        <f aca="false">IF(AW20&gt;=Assumptions!$B$44,"High",IF(AW20&gt;=Assumptions!$B$45,"Medium","Low"))</f>
        <v>Medium</v>
      </c>
      <c r="AY20" s="14" t="str">
        <f aca="false">IF(OR(AQ20="Critical",AQ20="High"),IF(AX20="Low","VERIFY first – urgent sub-tier fact-find",IF(OR(AQ20="Critical",AV20=1),"ACT – mitigate now","CONFIRM sole-source status, then qualify alternate")),IF(AQ20="Elevated",IF(AX20="Low","VERIFY – add to N-tier survey","PLAN – qualify alternate in 90 days"),"MONITOR – quarterly review"))</f>
        <v>PLAN – qualify alternate in 90 days</v>
      </c>
      <c r="AZ20" s="14" t="str">
        <f aca="false">IF(K20&amp;L20&amp;O20&lt;&gt;"",IF(OR(K20="",L20="",O20=""),TRIM(IF(K20="","Current ratio; ","")&amp;IF(L20="","Net debt/EBITDA; ","")&amp;IF(O20="","Assurance gap","")),"—"),"Current ratio; Net debt/EBITDA; Assurance gap")</f>
        <v>—</v>
      </c>
    </row>
    <row r="21" customFormat="false" ht="35.05" hidden="false" customHeight="false" outlineLevel="0" collapsed="false">
      <c r="A21" s="6" t="s">
        <v>142</v>
      </c>
      <c r="B21" s="7" t="str">
        <f aca="false">INDEX(Data!$B$5:$B$34,MATCH($A21,Data!$A$5:$A$34,0))</f>
        <v>Meridian Dielectrics Ltd.</v>
      </c>
      <c r="C21" s="6" t="n">
        <v>2</v>
      </c>
      <c r="D21" s="14" t="s">
        <v>143</v>
      </c>
      <c r="E21" s="7" t="str">
        <f aca="false">INDEX(Data!$G$38:$G$67,MATCH($A21,Data!$A$38:$A$67,0))</f>
        <v>SITE-102</v>
      </c>
      <c r="F21" s="7" t="str">
        <f aca="false">INDEX(Data!$I$38:$I$67,MATCH($A21,Data!$A$38:$A$67,0))</f>
        <v>Z03</v>
      </c>
      <c r="G21" s="15" t="s">
        <v>131</v>
      </c>
      <c r="H21" s="16" t="n">
        <v>1</v>
      </c>
      <c r="I21" s="17" t="n">
        <v>12</v>
      </c>
      <c r="J21" s="14" t="s">
        <v>144</v>
      </c>
      <c r="K21" s="18" t="n">
        <f aca="false">IF(INDEX(Data!$C$5:$C$34,MATCH($A21,Data!$A$5:$A$34,0))="","",INDEX(Data!$C$5:$C$34,MATCH($A21,Data!$A$5:$A$34,0)))</f>
        <v>0.62</v>
      </c>
      <c r="L21" s="18" t="n">
        <f aca="false">IF(INDEX(Data!$D$5:$D$34,MATCH($A21,Data!$A$5:$A$34,0))="","",INDEX(Data!$D$5:$D$34,MATCH($A21,Data!$A$5:$A$34,0)))</f>
        <v>7.2</v>
      </c>
      <c r="M21" s="8" t="n">
        <f aca="false">IF(INDEX(Data!$E$5:$E$34,MATCH($A21,Data!$A$5:$A$34,0))="","",INDEX(Data!$E$5:$E$34,MATCH($A21,Data!$A$5:$A$34,0)))</f>
        <v>76.4</v>
      </c>
      <c r="N21" s="8" t="n">
        <f aca="false">IF(INDEX(Data!$F$5:$F$34,MATCH($A21,Data!$A$5:$A$34,0))="","",INDEX(Data!$F$5:$F$34,MATCH($A21,Data!$A$5:$A$34,0)))</f>
        <v>-17.6</v>
      </c>
      <c r="O21" s="8" t="n">
        <f aca="false">IF(INDEX(Data!$G$5:$G$34,MATCH($A21,Data!$A$5:$A$34,0))="","",INDEX(Data!$G$5:$G$34,MATCH($A21,Data!$A$5:$A$34,0)))</f>
        <v>72</v>
      </c>
      <c r="P21" s="8" t="n">
        <f aca="false">IF(INDEX(Data!$H$5:$H$34,MATCH($A21,Data!$A$5:$A$34,0))="","",INDEX(Data!$H$5:$H$34,MATCH($A21,Data!$A$5:$A$34,0)))</f>
        <v>19</v>
      </c>
      <c r="Q21" s="8" t="n">
        <f aca="false">IF(INDEX(Data!$I$5:$I$34,MATCH($A21,Data!$A$5:$A$34,0))="","",INDEX(Data!$I$5:$I$34,MATCH($A21,Data!$A$5:$A$34,0)))</f>
        <v>26</v>
      </c>
      <c r="R21" s="8" t="n">
        <f aca="false">IF(INDEX(Data!$J$5:$J$34,MATCH($A21,Data!$A$5:$A$34,0))="","",INDEX(Data!$J$5:$J$34,MATCH($A21,Data!$A$5:$A$34,0)))</f>
        <v>25</v>
      </c>
      <c r="S21" s="19" t="n">
        <f aca="false">IF(L21="","",IF(L21&lt;=Assumptions!$B$31,Assumptions!$H$31,IF(L21&lt;=Assumptions!$C$31,Assumptions!$H$31+(L21-Assumptions!$B$31)/(Assumptions!$C$31-Assumptions!$B$31)*(Assumptions!$I$31-Assumptions!$H$31),IF(L21&lt;=Assumptions!$D$31,Assumptions!$I$31+(L21-Assumptions!$C$31)/(Assumptions!$D$31-Assumptions!$C$31)*(Assumptions!$J$31-Assumptions!$I$31),IF(L21&lt;=Assumptions!$E$31,Assumptions!$J$31+(L21-Assumptions!$D$31)/(Assumptions!$E$31-Assumptions!$D$31)*(Assumptions!$K$31-Assumptions!$J$31),IF(L21&lt;=Assumptions!$F$31,Assumptions!$K$31+(L21-Assumptions!$E$31)/(Assumptions!$F$31-Assumptions!$E$31)*(Assumptions!$L$31-Assumptions!$K$31),IF(L21&lt;=Assumptions!$G$31,Assumptions!$L$31+(L21-Assumptions!$F$31)/(Assumptions!$G$31-Assumptions!$F$31)*(Assumptions!$M$31-Assumptions!$L$31),Assumptions!$M$31)))))))</f>
        <v>100</v>
      </c>
      <c r="T21" s="19" t="n">
        <f aca="false">IF(K21="","",IF(K21&lt;=Assumptions!$B$32,Assumptions!$H$32,IF(K21&lt;=Assumptions!$C$32,Assumptions!$H$32+(K21-Assumptions!$B$32)/(Assumptions!$C$32-Assumptions!$B$32)*(Assumptions!$I$32-Assumptions!$H$32),IF(K21&lt;=Assumptions!$D$32,Assumptions!$I$32+(K21-Assumptions!$C$32)/(Assumptions!$D$32-Assumptions!$C$32)*(Assumptions!$J$32-Assumptions!$I$32),IF(K21&lt;=Assumptions!$E$32,Assumptions!$J$32+(K21-Assumptions!$D$32)/(Assumptions!$E$32-Assumptions!$D$32)*(Assumptions!$K$32-Assumptions!$J$32),IF(K21&lt;=Assumptions!$F$32,Assumptions!$K$32+(K21-Assumptions!$E$32)/(Assumptions!$F$32-Assumptions!$E$32)*(Assumptions!$L$32-Assumptions!$K$32),IF(K21&lt;=Assumptions!$G$32,Assumptions!$L$32+(K21-Assumptions!$F$32)/(Assumptions!$G$32-Assumptions!$F$32)*(Assumptions!$M$32-Assumptions!$L$32),Assumptions!$M$32)))))))</f>
        <v>92.8</v>
      </c>
      <c r="U21" s="19" t="n">
        <f aca="false">IF(M21&lt;=Assumptions!$B$33,Assumptions!$H$33,IF(M21&lt;=Assumptions!$C$33,Assumptions!$H$33+(M21-Assumptions!$B$33)/(Assumptions!$C$33-Assumptions!$B$33)*(Assumptions!$I$33-Assumptions!$H$33),IF(M21&lt;=Assumptions!$D$33,Assumptions!$I$33+(M21-Assumptions!$C$33)/(Assumptions!$D$33-Assumptions!$C$33)*(Assumptions!$J$33-Assumptions!$I$33),IF(M21&lt;=Assumptions!$E$33,Assumptions!$J$33+(M21-Assumptions!$D$33)/(Assumptions!$E$33-Assumptions!$D$33)*(Assumptions!$K$33-Assumptions!$J$33),IF(M21&lt;=Assumptions!$F$33,Assumptions!$K$33+(M21-Assumptions!$E$33)/(Assumptions!$F$33-Assumptions!$E$33)*(Assumptions!$L$33-Assumptions!$K$33),IF(M21&lt;=Assumptions!$G$33,Assumptions!$L$33+(M21-Assumptions!$F$33)/(Assumptions!$G$33-Assumptions!$F$33)*(Assumptions!$M$33-Assumptions!$L$33),Assumptions!$M$33))))))</f>
        <v>93</v>
      </c>
      <c r="V21" s="19" t="n">
        <f aca="false">IF(N21&lt;=Assumptions!$B$34,Assumptions!$H$34,IF(N21&lt;=Assumptions!$C$34,Assumptions!$H$34+(N21-Assumptions!$B$34)/(Assumptions!$C$34-Assumptions!$B$34)*(Assumptions!$I$34-Assumptions!$H$34),IF(N21&lt;=Assumptions!$D$34,Assumptions!$I$34+(N21-Assumptions!$C$34)/(Assumptions!$D$34-Assumptions!$C$34)*(Assumptions!$J$34-Assumptions!$I$34),IF(N21&lt;=Assumptions!$E$34,Assumptions!$J$34+(N21-Assumptions!$D$34)/(Assumptions!$E$34-Assumptions!$D$34)*(Assumptions!$K$34-Assumptions!$J$34),IF(N21&lt;=Assumptions!$F$34,Assumptions!$K$34+(N21-Assumptions!$E$34)/(Assumptions!$F$34-Assumptions!$E$34)*(Assumptions!$L$34-Assumptions!$K$34),IF(N21&lt;=Assumptions!$G$34,Assumptions!$L$34+(N21-Assumptions!$F$34)/(Assumptions!$G$34-Assumptions!$F$34)*(Assumptions!$M$34-Assumptions!$L$34),Assumptions!$M$34))))))</f>
        <v>100</v>
      </c>
      <c r="W21" s="19" t="n">
        <f aca="false">IF(S21="",PERCENTILE($S$6:$S$30,Assumptions!$B$36),S21)</f>
        <v>100</v>
      </c>
      <c r="X21" s="19" t="n">
        <f aca="false">IF(T21="",PERCENTILE($T$6:$T$30,Assumptions!$B$36),T21)</f>
        <v>92.8</v>
      </c>
      <c r="Y21" s="19" t="n">
        <f aca="false">IF(O21="",PERCENTILE($O$6:$O$30,Assumptions!$B$36),O21)</f>
        <v>72</v>
      </c>
      <c r="Z21" s="19" t="n">
        <f aca="false">W21*Assumptions!$B$16+X21*Assumptions!$B$17</f>
        <v>96.4</v>
      </c>
      <c r="AA21" s="19" t="n">
        <f aca="false">U21*Assumptions!$B$18+V21*Assumptions!$B$19</f>
        <v>96.5</v>
      </c>
      <c r="AB21" s="19" t="n">
        <f aca="false">AVERAGE(P21:R21)</f>
        <v>23.3333333333333</v>
      </c>
      <c r="AC21" s="16" t="n">
        <v>1</v>
      </c>
      <c r="AD21" s="20" t="n">
        <f aca="false">MIN(100,Z21*Assumptions!$B$11+AA21*Assumptions!$B$12+Y21*Assumptions!$B$13+AB21*Assumptions!$B$14+AC21*Assumptions!$B$20)</f>
        <v>84.5033333333333</v>
      </c>
      <c r="AE21" s="21" t="n">
        <f aca="false">MIN(1,SUMIFS(Network!$V$15:$V$30,Network!$D$15:$D$30,$A21,Network!$U$15:$U$30,1))</f>
        <v>1</v>
      </c>
      <c r="AF21" s="21" t="n">
        <f aca="false">MIN(1,SUMIFS(Network!$W$15:$W$30,Network!$D$15:$D$30,$A21,Network!$U$15:$U$30,1))</f>
        <v>1</v>
      </c>
      <c r="AG21" s="21" t="n">
        <f aca="false">MIN(1,SUMIFS(Network!$X$15:$X$30,Network!$D$15:$D$30,$A21,Network!$U$15:$U$30,1))</f>
        <v>0</v>
      </c>
      <c r="AH21" s="22" t="n">
        <f aca="false">AE21*Assumptions!$B$5+AF21*Assumptions!$B$6+AG21*Assumptions!$B$7</f>
        <v>1144</v>
      </c>
      <c r="AI21" s="23" t="n">
        <f aca="false">AH21/Assumptions!$B$8</f>
        <v>0.733333333333333</v>
      </c>
      <c r="AJ21" s="24" t="n">
        <f aca="false">AH21/52</f>
        <v>22</v>
      </c>
      <c r="AK21" s="22" t="n">
        <f aca="false">AJ21*I21</f>
        <v>264</v>
      </c>
      <c r="AL21" s="19" t="n">
        <f aca="false">MIN(100,I21/Assumptions!$B$26*100)</f>
        <v>33.3333333333333</v>
      </c>
      <c r="AM21" s="19" t="n">
        <f aca="false">MIN(100,H21/Assumptions!$B$27*100)</f>
        <v>33.3333333333333</v>
      </c>
      <c r="AN21" s="20" t="n">
        <f aca="false">AI21*100*Assumptions!$B$23+AL21*Assumptions!$B$24+AM21*Assumptions!$B$25</f>
        <v>53.3333333333333</v>
      </c>
      <c r="AO21" s="25" t="n">
        <f aca="false">AN21*AD21/100</f>
        <v>45.0684444444444</v>
      </c>
      <c r="AP21" s="6" t="n">
        <f aca="false">RANK(AO21,$AO$6:$AO$30)+COUNTIF($AO$6:AO21,AO21)-1</f>
        <v>3</v>
      </c>
      <c r="AQ21" s="6" t="str">
        <f aca="false">IF(AO21&gt;=Assumptions!$B$39,"Critical",IF(AO21&gt;=Assumptions!$B$40,"High",IF(AO21&gt;=Assumptions!$B$41,"Elevated","Watch")))</f>
        <v>Critical</v>
      </c>
      <c r="AR21" s="6" t="str">
        <f aca="false">IF(AND(AN21&gt;=Assumptions!$B$42,AD21&gt;=Assumptions!$B$43),"Act now",IF(AN21&gt;=Assumptions!$B$42,"Protect (structural)",IF(AD21&gt;=Assumptions!$B$43,"Remediate supplier","Routine")))</f>
        <v>Remediate supplier</v>
      </c>
      <c r="AS21" s="6" t="n">
        <f aca="false">_xlfn.MAXIFS(Network!$T$5:$T$36,Network!$D$5:$D$36,$A21)</f>
        <v>2</v>
      </c>
      <c r="AT21" s="6" t="n">
        <f aca="false">COUNT(K21:R21)</f>
        <v>8</v>
      </c>
      <c r="AU21" s="6" t="n">
        <f aca="false">IF(AT21&gt;=8,2,IF(AT21&gt;=6,1,0))</f>
        <v>2</v>
      </c>
      <c r="AV21" s="6" t="n">
        <f aca="false">IF(OR(C21=1,LEFT(G21,9)="Confirmed"),1,0)</f>
        <v>0</v>
      </c>
      <c r="AW21" s="6" t="n">
        <f aca="false">AS21+AU21+AV21</f>
        <v>4</v>
      </c>
      <c r="AX21" s="26" t="str">
        <f aca="false">IF(AW21&gt;=Assumptions!$B$44,"High",IF(AW21&gt;=Assumptions!$B$45,"Medium","Low"))</f>
        <v>Medium</v>
      </c>
      <c r="AY21" s="14" t="str">
        <f aca="false">IF(OR(AQ21="Critical",AQ21="High"),IF(AX21="Low","VERIFY first – urgent sub-tier fact-find",IF(OR(AQ21="Critical",AV21=1),"ACT – mitigate now","CONFIRM sole-source status, then qualify alternate")),IF(AQ21="Elevated",IF(AX21="Low","VERIFY – add to N-tier survey","PLAN – qualify alternate in 90 days"),"MONITOR – quarterly review"))</f>
        <v>ACT – mitigate now</v>
      </c>
      <c r="AZ21" s="14" t="str">
        <f aca="false">IF(K21&amp;L21&amp;O21&lt;&gt;"",IF(OR(K21="",L21="",O21=""),TRIM(IF(K21="","Current ratio; ","")&amp;IF(L21="","Net debt/EBITDA; ","")&amp;IF(O21="","Assurance gap","")),"—"),"Current ratio; Net debt/EBITDA; Assurance gap")</f>
        <v>—</v>
      </c>
    </row>
    <row r="22" customFormat="false" ht="23.85" hidden="false" customHeight="false" outlineLevel="0" collapsed="false">
      <c r="A22" s="6" t="s">
        <v>145</v>
      </c>
      <c r="B22" s="7" t="str">
        <f aca="false">INDEX(Data!$B$5:$B$34,MATCH($A22,Data!$A$5:$A$34,0))</f>
        <v>Nacre Foils Ltd.</v>
      </c>
      <c r="C22" s="6" t="n">
        <v>2</v>
      </c>
      <c r="D22" s="14" t="s">
        <v>146</v>
      </c>
      <c r="E22" s="7" t="str">
        <f aca="false">INDEX(Data!$G$38:$G$67,MATCH($A22,Data!$A$38:$A$67,0))</f>
        <v>SITE-109</v>
      </c>
      <c r="F22" s="7" t="str">
        <f aca="false">INDEX(Data!$I$38:$I$67,MATCH($A22,Data!$A$38:$A$67,0))</f>
        <v>Z06</v>
      </c>
      <c r="G22" s="15" t="s">
        <v>131</v>
      </c>
      <c r="H22" s="16" t="n">
        <v>1</v>
      </c>
      <c r="I22" s="17" t="n">
        <v>8</v>
      </c>
      <c r="J22" s="14" t="s">
        <v>147</v>
      </c>
      <c r="K22" s="18" t="n">
        <f aca="false">IF(INDEX(Data!$C$5:$C$34,MATCH($A22,Data!$A$5:$A$34,0))="","",INDEX(Data!$C$5:$C$34,MATCH($A22,Data!$A$5:$A$34,0)))</f>
        <v>1.54</v>
      </c>
      <c r="L22" s="18" t="n">
        <f aca="false">IF(INDEX(Data!$D$5:$D$34,MATCH($A22,Data!$A$5:$A$34,0))="","",INDEX(Data!$D$5:$D$34,MATCH($A22,Data!$A$5:$A$34,0)))</f>
        <v>1.67</v>
      </c>
      <c r="M22" s="8" t="n">
        <f aca="false">IF(INDEX(Data!$E$5:$E$34,MATCH($A22,Data!$A$5:$A$34,0))="","",INDEX(Data!$E$5:$E$34,MATCH($A22,Data!$A$5:$A$34,0)))</f>
        <v>79.3</v>
      </c>
      <c r="N22" s="8" t="n">
        <f aca="false">IF(INDEX(Data!$F$5:$F$34,MATCH($A22,Data!$A$5:$A$34,0))="","",INDEX(Data!$F$5:$F$34,MATCH($A22,Data!$A$5:$A$34,0)))</f>
        <v>-3.5</v>
      </c>
      <c r="O22" s="8" t="n">
        <f aca="false">IF(INDEX(Data!$G$5:$G$34,MATCH($A22,Data!$A$5:$A$34,0))="","",INDEX(Data!$G$5:$G$34,MATCH($A22,Data!$A$5:$A$34,0)))</f>
        <v>21</v>
      </c>
      <c r="P22" s="8" t="n">
        <f aca="false">IF(INDEX(Data!$H$5:$H$34,MATCH($A22,Data!$A$5:$A$34,0))="","",INDEX(Data!$H$5:$H$34,MATCH($A22,Data!$A$5:$A$34,0)))</f>
        <v>67</v>
      </c>
      <c r="Q22" s="8" t="n">
        <f aca="false">IF(INDEX(Data!$I$5:$I$34,MATCH($A22,Data!$A$5:$A$34,0))="","",INDEX(Data!$I$5:$I$34,MATCH($A22,Data!$A$5:$A$34,0)))</f>
        <v>59</v>
      </c>
      <c r="R22" s="8" t="n">
        <f aca="false">IF(INDEX(Data!$J$5:$J$34,MATCH($A22,Data!$A$5:$A$34,0))="","",INDEX(Data!$J$5:$J$34,MATCH($A22,Data!$A$5:$A$34,0)))</f>
        <v>54</v>
      </c>
      <c r="S22" s="19" t="n">
        <f aca="false">IF(L22="","",IF(L22&lt;=Assumptions!$B$31,Assumptions!$H$31,IF(L22&lt;=Assumptions!$C$31,Assumptions!$H$31+(L22-Assumptions!$B$31)/(Assumptions!$C$31-Assumptions!$B$31)*(Assumptions!$I$31-Assumptions!$H$31),IF(L22&lt;=Assumptions!$D$31,Assumptions!$I$31+(L22-Assumptions!$C$31)/(Assumptions!$D$31-Assumptions!$C$31)*(Assumptions!$J$31-Assumptions!$I$31),IF(L22&lt;=Assumptions!$E$31,Assumptions!$J$31+(L22-Assumptions!$D$31)/(Assumptions!$E$31-Assumptions!$D$31)*(Assumptions!$K$31-Assumptions!$J$31),IF(L22&lt;=Assumptions!$F$31,Assumptions!$K$31+(L22-Assumptions!$E$31)/(Assumptions!$F$31-Assumptions!$E$31)*(Assumptions!$L$31-Assumptions!$K$31),IF(L22&lt;=Assumptions!$G$31,Assumptions!$L$31+(L22-Assumptions!$F$31)/(Assumptions!$G$31-Assumptions!$F$31)*(Assumptions!$M$31-Assumptions!$L$31),Assumptions!$M$31)))))))</f>
        <v>20.04</v>
      </c>
      <c r="T22" s="19" t="n">
        <f aca="false">IF(K22="","",IF(K22&lt;=Assumptions!$B$32,Assumptions!$H$32,IF(K22&lt;=Assumptions!$C$32,Assumptions!$H$32+(K22-Assumptions!$B$32)/(Assumptions!$C$32-Assumptions!$B$32)*(Assumptions!$I$32-Assumptions!$H$32),IF(K22&lt;=Assumptions!$D$32,Assumptions!$I$32+(K22-Assumptions!$C$32)/(Assumptions!$D$32-Assumptions!$C$32)*(Assumptions!$J$32-Assumptions!$I$32),IF(K22&lt;=Assumptions!$E$32,Assumptions!$J$32+(K22-Assumptions!$D$32)/(Assumptions!$E$32-Assumptions!$D$32)*(Assumptions!$K$32-Assumptions!$J$32),IF(K22&lt;=Assumptions!$F$32,Assumptions!$K$32+(K22-Assumptions!$E$32)/(Assumptions!$F$32-Assumptions!$E$32)*(Assumptions!$L$32-Assumptions!$K$32),IF(K22&lt;=Assumptions!$G$32,Assumptions!$L$32+(K22-Assumptions!$F$32)/(Assumptions!$G$32-Assumptions!$F$32)*(Assumptions!$M$32-Assumptions!$L$32),Assumptions!$M$32)))))))</f>
        <v>28.8</v>
      </c>
      <c r="U22" s="19" t="n">
        <f aca="false">IF(M22&lt;=Assumptions!$B$33,Assumptions!$H$33,IF(M22&lt;=Assumptions!$C$33,Assumptions!$H$33+(M22-Assumptions!$B$33)/(Assumptions!$C$33-Assumptions!$B$33)*(Assumptions!$I$33-Assumptions!$H$33),IF(M22&lt;=Assumptions!$D$33,Assumptions!$I$33+(M22-Assumptions!$C$33)/(Assumptions!$D$33-Assumptions!$C$33)*(Assumptions!$J$33-Assumptions!$I$33),IF(M22&lt;=Assumptions!$E$33,Assumptions!$J$33+(M22-Assumptions!$D$33)/(Assumptions!$E$33-Assumptions!$D$33)*(Assumptions!$K$33-Assumptions!$J$33),IF(M22&lt;=Assumptions!$F$33,Assumptions!$K$33+(M22-Assumptions!$E$33)/(Assumptions!$F$33-Assumptions!$E$33)*(Assumptions!$L$33-Assumptions!$K$33),IF(M22&lt;=Assumptions!$G$33,Assumptions!$L$33+(M22-Assumptions!$F$33)/(Assumptions!$G$33-Assumptions!$F$33)*(Assumptions!$M$33-Assumptions!$L$33),Assumptions!$M$33))))))</f>
        <v>78.5</v>
      </c>
      <c r="V22" s="19" t="n">
        <f aca="false">IF(N22&lt;=Assumptions!$B$34,Assumptions!$H$34,IF(N22&lt;=Assumptions!$C$34,Assumptions!$H$34+(N22-Assumptions!$B$34)/(Assumptions!$C$34-Assumptions!$B$34)*(Assumptions!$I$34-Assumptions!$H$34),IF(N22&lt;=Assumptions!$D$34,Assumptions!$I$34+(N22-Assumptions!$C$34)/(Assumptions!$D$34-Assumptions!$C$34)*(Assumptions!$J$34-Assumptions!$I$34),IF(N22&lt;=Assumptions!$E$34,Assumptions!$J$34+(N22-Assumptions!$D$34)/(Assumptions!$E$34-Assumptions!$D$34)*(Assumptions!$K$34-Assumptions!$J$34),IF(N22&lt;=Assumptions!$F$34,Assumptions!$K$34+(N22-Assumptions!$E$34)/(Assumptions!$F$34-Assumptions!$E$34)*(Assumptions!$L$34-Assumptions!$K$34),IF(N22&lt;=Assumptions!$G$34,Assumptions!$L$34+(N22-Assumptions!$F$34)/(Assumptions!$G$34-Assumptions!$F$34)*(Assumptions!$M$34-Assumptions!$L$34),Assumptions!$M$34))))))</f>
        <v>45</v>
      </c>
      <c r="W22" s="19" t="n">
        <f aca="false">IF(S22="",PERCENTILE($S$6:$S$30,Assumptions!$B$36),S22)</f>
        <v>20.04</v>
      </c>
      <c r="X22" s="19" t="n">
        <f aca="false">IF(T22="",PERCENTILE($T$6:$T$30,Assumptions!$B$36),T22)</f>
        <v>28.8</v>
      </c>
      <c r="Y22" s="19" t="n">
        <f aca="false">IF(O22="",PERCENTILE($O$6:$O$30,Assumptions!$B$36),O22)</f>
        <v>21</v>
      </c>
      <c r="Z22" s="19" t="n">
        <f aca="false">W22*Assumptions!$B$16+X22*Assumptions!$B$17</f>
        <v>24.42</v>
      </c>
      <c r="AA22" s="19" t="n">
        <f aca="false">U22*Assumptions!$B$18+V22*Assumptions!$B$19</f>
        <v>61.75</v>
      </c>
      <c r="AB22" s="19" t="n">
        <f aca="false">AVERAGE(P22:R22)</f>
        <v>60</v>
      </c>
      <c r="AC22" s="16" t="n">
        <v>0</v>
      </c>
      <c r="AD22" s="20" t="n">
        <f aca="false">MIN(100,Z22*Assumptions!$B$11+AA22*Assumptions!$B$12+Y22*Assumptions!$B$13+AB22*Assumptions!$B$14+AC22*Assumptions!$B$20)</f>
        <v>44.001</v>
      </c>
      <c r="AE22" s="21" t="n">
        <f aca="false">MIN(1,SUMIFS(Network!$V$15:$V$30,Network!$D$15:$D$30,$A22,Network!$U$15:$U$30,1))</f>
        <v>1</v>
      </c>
      <c r="AF22" s="21" t="n">
        <f aca="false">MIN(1,SUMIFS(Network!$W$15:$W$30,Network!$D$15:$D$30,$A22,Network!$U$15:$U$30,1))</f>
        <v>1</v>
      </c>
      <c r="AG22" s="21" t="n">
        <f aca="false">MIN(1,SUMIFS(Network!$X$15:$X$30,Network!$D$15:$D$30,$A22,Network!$U$15:$U$30,1))</f>
        <v>0</v>
      </c>
      <c r="AH22" s="22" t="n">
        <f aca="false">AE22*Assumptions!$B$5+AF22*Assumptions!$B$6+AG22*Assumptions!$B$7</f>
        <v>1144</v>
      </c>
      <c r="AI22" s="23" t="n">
        <f aca="false">AH22/Assumptions!$B$8</f>
        <v>0.733333333333333</v>
      </c>
      <c r="AJ22" s="24" t="n">
        <f aca="false">AH22/52</f>
        <v>22</v>
      </c>
      <c r="AK22" s="22" t="n">
        <f aca="false">AJ22*I22</f>
        <v>176</v>
      </c>
      <c r="AL22" s="19" t="n">
        <f aca="false">MIN(100,I22/Assumptions!$B$26*100)</f>
        <v>22.2222222222222</v>
      </c>
      <c r="AM22" s="19" t="n">
        <f aca="false">MIN(100,H22/Assumptions!$B$27*100)</f>
        <v>33.3333333333333</v>
      </c>
      <c r="AN22" s="20" t="n">
        <f aca="false">AI22*100*Assumptions!$B$23+AL22*Assumptions!$B$24+AM22*Assumptions!$B$25</f>
        <v>50</v>
      </c>
      <c r="AO22" s="25" t="n">
        <f aca="false">AN22*AD22/100</f>
        <v>22.0005</v>
      </c>
      <c r="AP22" s="6" t="n">
        <f aca="false">RANK(AO22,$AO$6:$AO$30)+COUNTIF($AO$6:AO22,AO22)-1</f>
        <v>14</v>
      </c>
      <c r="AQ22" s="6" t="str">
        <f aca="false">IF(AO22&gt;=Assumptions!$B$39,"Critical",IF(AO22&gt;=Assumptions!$B$40,"High",IF(AO22&gt;=Assumptions!$B$41,"Elevated","Watch")))</f>
        <v>Elevated</v>
      </c>
      <c r="AR22" s="6" t="str">
        <f aca="false">IF(AND(AN22&gt;=Assumptions!$B$42,AD22&gt;=Assumptions!$B$43),"Act now",IF(AN22&gt;=Assumptions!$B$42,"Protect (structural)",IF(AD22&gt;=Assumptions!$B$43,"Remediate supplier","Routine")))</f>
        <v>Routine</v>
      </c>
      <c r="AS22" s="6" t="n">
        <f aca="false">_xlfn.MAXIFS(Network!$T$5:$T$36,Network!$D$5:$D$36,$A22)</f>
        <v>2</v>
      </c>
      <c r="AT22" s="6" t="n">
        <f aca="false">COUNT(K22:R22)</f>
        <v>8</v>
      </c>
      <c r="AU22" s="6" t="n">
        <f aca="false">IF(AT22&gt;=8,2,IF(AT22&gt;=6,1,0))</f>
        <v>2</v>
      </c>
      <c r="AV22" s="6" t="n">
        <f aca="false">IF(OR(C22=1,LEFT(G22,9)="Confirmed"),1,0)</f>
        <v>0</v>
      </c>
      <c r="AW22" s="6" t="n">
        <f aca="false">AS22+AU22+AV22</f>
        <v>4</v>
      </c>
      <c r="AX22" s="26" t="str">
        <f aca="false">IF(AW22&gt;=Assumptions!$B$44,"High",IF(AW22&gt;=Assumptions!$B$45,"Medium","Low"))</f>
        <v>Medium</v>
      </c>
      <c r="AY22" s="14" t="str">
        <f aca="false">IF(OR(AQ22="Critical",AQ22="High"),IF(AX22="Low","VERIFY first – urgent sub-tier fact-find",IF(OR(AQ22="Critical",AV22=1),"ACT – mitigate now","CONFIRM sole-source status, then qualify alternate")),IF(AQ22="Elevated",IF(AX22="Low","VERIFY – add to N-tier survey","PLAN – qualify alternate in 90 days"),"MONITOR – quarterly review"))</f>
        <v>PLAN – qualify alternate in 90 days</v>
      </c>
      <c r="AZ22" s="14" t="str">
        <f aca="false">IF(K22&amp;L22&amp;O22&lt;&gt;"",IF(OR(K22="",L22="",O22=""),TRIM(IF(K22="","Current ratio; ","")&amp;IF(L22="","Net debt/EBITDA; ","")&amp;IF(O22="","Assurance gap","")),"—"),"Current ratio; Net debt/EBITDA; Assurance gap")</f>
        <v>—</v>
      </c>
    </row>
    <row r="23" customFormat="false" ht="23.85" hidden="false" customHeight="false" outlineLevel="0" collapsed="false">
      <c r="A23" s="6" t="s">
        <v>148</v>
      </c>
      <c r="B23" s="7" t="str">
        <f aca="false">INDEX(Data!$B$5:$B$34,MATCH($A23,Data!$A$5:$A$34,0))</f>
        <v>Pine Thermal Metals Ltd.</v>
      </c>
      <c r="C23" s="6" t="n">
        <v>2</v>
      </c>
      <c r="D23" s="14" t="s">
        <v>149</v>
      </c>
      <c r="E23" s="7" t="str">
        <f aca="false">INDEX(Data!$G$38:$G$67,MATCH($A23,Data!$A$38:$A$67,0))</f>
        <v>SITE-123</v>
      </c>
      <c r="F23" s="7" t="str">
        <f aca="false">INDEX(Data!$I$38:$I$67,MATCH($A23,Data!$A$38:$A$67,0))</f>
        <v>Z06</v>
      </c>
      <c r="G23" s="15" t="s">
        <v>131</v>
      </c>
      <c r="H23" s="16" t="n">
        <v>1</v>
      </c>
      <c r="I23" s="17" t="n">
        <v>4</v>
      </c>
      <c r="J23" s="14" t="s">
        <v>150</v>
      </c>
      <c r="K23" s="18" t="n">
        <f aca="false">IF(INDEX(Data!$C$5:$C$34,MATCH($A23,Data!$A$5:$A$34,0))="","",INDEX(Data!$C$5:$C$34,MATCH($A23,Data!$A$5:$A$34,0)))</f>
        <v>1.79</v>
      </c>
      <c r="L23" s="18" t="n">
        <f aca="false">IF(INDEX(Data!$D$5:$D$34,MATCH($A23,Data!$A$5:$A$34,0))="","",INDEX(Data!$D$5:$D$34,MATCH($A23,Data!$A$5:$A$34,0)))</f>
        <v>3.67</v>
      </c>
      <c r="M23" s="8" t="n">
        <f aca="false">IF(INDEX(Data!$E$5:$E$34,MATCH($A23,Data!$A$5:$A$34,0))="","",INDEX(Data!$E$5:$E$34,MATCH($A23,Data!$A$5:$A$34,0)))</f>
        <v>85.6</v>
      </c>
      <c r="N23" s="8" t="n">
        <f aca="false">IF(INDEX(Data!$F$5:$F$34,MATCH($A23,Data!$A$5:$A$34,0))="","",INDEX(Data!$F$5:$F$34,MATCH($A23,Data!$A$5:$A$34,0)))</f>
        <v>0.8</v>
      </c>
      <c r="O23" s="8" t="n">
        <f aca="false">IF(INDEX(Data!$G$5:$G$34,MATCH($A23,Data!$A$5:$A$34,0))="","",INDEX(Data!$G$5:$G$34,MATCH($A23,Data!$A$5:$A$34,0)))</f>
        <v>39</v>
      </c>
      <c r="P23" s="8" t="n">
        <f aca="false">IF(INDEX(Data!$H$5:$H$34,MATCH($A23,Data!$A$5:$A$34,0))="","",INDEX(Data!$H$5:$H$34,MATCH($A23,Data!$A$5:$A$34,0)))</f>
        <v>67</v>
      </c>
      <c r="Q23" s="8" t="n">
        <f aca="false">IF(INDEX(Data!$I$5:$I$34,MATCH($A23,Data!$A$5:$A$34,0))="","",INDEX(Data!$I$5:$I$34,MATCH($A23,Data!$A$5:$A$34,0)))</f>
        <v>59</v>
      </c>
      <c r="R23" s="8" t="n">
        <f aca="false">IF(INDEX(Data!$J$5:$J$34,MATCH($A23,Data!$A$5:$A$34,0))="","",INDEX(Data!$J$5:$J$34,MATCH($A23,Data!$A$5:$A$34,0)))</f>
        <v>54</v>
      </c>
      <c r="S23" s="19" t="n">
        <f aca="false">IF(L23="","",IF(L23&lt;=Assumptions!$B$31,Assumptions!$H$31,IF(L23&lt;=Assumptions!$C$31,Assumptions!$H$31+(L23-Assumptions!$B$31)/(Assumptions!$C$31-Assumptions!$B$31)*(Assumptions!$I$31-Assumptions!$H$31),IF(L23&lt;=Assumptions!$D$31,Assumptions!$I$31+(L23-Assumptions!$C$31)/(Assumptions!$D$31-Assumptions!$C$31)*(Assumptions!$J$31-Assumptions!$I$31),IF(L23&lt;=Assumptions!$E$31,Assumptions!$J$31+(L23-Assumptions!$D$31)/(Assumptions!$E$31-Assumptions!$D$31)*(Assumptions!$K$31-Assumptions!$J$31),IF(L23&lt;=Assumptions!$F$31,Assumptions!$K$31+(L23-Assumptions!$E$31)/(Assumptions!$F$31-Assumptions!$E$31)*(Assumptions!$L$31-Assumptions!$K$31),IF(L23&lt;=Assumptions!$G$31,Assumptions!$L$31+(L23-Assumptions!$F$31)/(Assumptions!$G$31-Assumptions!$F$31)*(Assumptions!$M$31-Assumptions!$L$31),Assumptions!$M$31)))))))</f>
        <v>61.2</v>
      </c>
      <c r="T23" s="19" t="n">
        <f aca="false">IF(K23="","",IF(K23&lt;=Assumptions!$B$32,Assumptions!$H$32,IF(K23&lt;=Assumptions!$C$32,Assumptions!$H$32+(K23-Assumptions!$B$32)/(Assumptions!$C$32-Assumptions!$B$32)*(Assumptions!$I$32-Assumptions!$H$32),IF(K23&lt;=Assumptions!$D$32,Assumptions!$I$32+(K23-Assumptions!$C$32)/(Assumptions!$D$32-Assumptions!$C$32)*(Assumptions!$J$32-Assumptions!$I$32),IF(K23&lt;=Assumptions!$E$32,Assumptions!$J$32+(K23-Assumptions!$D$32)/(Assumptions!$E$32-Assumptions!$D$32)*(Assumptions!$K$32-Assumptions!$J$32),IF(K23&lt;=Assumptions!$F$32,Assumptions!$K$32+(K23-Assumptions!$E$32)/(Assumptions!$F$32-Assumptions!$E$32)*(Assumptions!$L$32-Assumptions!$K$32),IF(K23&lt;=Assumptions!$G$32,Assumptions!$L$32+(K23-Assumptions!$F$32)/(Assumptions!$G$32-Assumptions!$F$32)*(Assumptions!$M$32-Assumptions!$L$32),Assumptions!$M$32)))))))</f>
        <v>21.3</v>
      </c>
      <c r="U23" s="19" t="n">
        <f aca="false">IF(M23&lt;=Assumptions!$B$33,Assumptions!$H$33,IF(M23&lt;=Assumptions!$C$33,Assumptions!$H$33+(M23-Assumptions!$B$33)/(Assumptions!$C$33-Assumptions!$B$33)*(Assumptions!$I$33-Assumptions!$H$33),IF(M23&lt;=Assumptions!$D$33,Assumptions!$I$33+(M23-Assumptions!$C$33)/(Assumptions!$D$33-Assumptions!$C$33)*(Assumptions!$J$33-Assumptions!$I$33),IF(M23&lt;=Assumptions!$E$33,Assumptions!$J$33+(M23-Assumptions!$D$33)/(Assumptions!$E$33-Assumptions!$D$33)*(Assumptions!$K$33-Assumptions!$J$33),IF(M23&lt;=Assumptions!$F$33,Assumptions!$K$33+(M23-Assumptions!$E$33)/(Assumptions!$F$33-Assumptions!$E$33)*(Assumptions!$L$33-Assumptions!$K$33),IF(M23&lt;=Assumptions!$G$33,Assumptions!$L$33+(M23-Assumptions!$F$33)/(Assumptions!$G$33-Assumptions!$F$33)*(Assumptions!$M$33-Assumptions!$L$33),Assumptions!$M$33))))))</f>
        <v>47</v>
      </c>
      <c r="V23" s="19" t="n">
        <f aca="false">IF(N23&lt;=Assumptions!$B$34,Assumptions!$H$34,IF(N23&lt;=Assumptions!$C$34,Assumptions!$H$34+(N23-Assumptions!$B$34)/(Assumptions!$C$34-Assumptions!$B$34)*(Assumptions!$I$34-Assumptions!$H$34),IF(N23&lt;=Assumptions!$D$34,Assumptions!$I$34+(N23-Assumptions!$C$34)/(Assumptions!$D$34-Assumptions!$C$34)*(Assumptions!$J$34-Assumptions!$I$34),IF(N23&lt;=Assumptions!$E$34,Assumptions!$J$34+(N23-Assumptions!$D$34)/(Assumptions!$E$34-Assumptions!$D$34)*(Assumptions!$K$34-Assumptions!$J$34),IF(N23&lt;=Assumptions!$F$34,Assumptions!$K$34+(N23-Assumptions!$E$34)/(Assumptions!$F$34-Assumptions!$E$34)*(Assumptions!$L$34-Assumptions!$K$34),IF(N23&lt;=Assumptions!$G$34,Assumptions!$L$34+(N23-Assumptions!$F$34)/(Assumptions!$G$34-Assumptions!$F$34)*(Assumptions!$M$34-Assumptions!$L$34),Assumptions!$M$34))))))</f>
        <v>12</v>
      </c>
      <c r="W23" s="19" t="n">
        <f aca="false">IF(S23="",PERCENTILE($S$6:$S$30,Assumptions!$B$36),S23)</f>
        <v>61.2</v>
      </c>
      <c r="X23" s="19" t="n">
        <f aca="false">IF(T23="",PERCENTILE($T$6:$T$30,Assumptions!$B$36),T23)</f>
        <v>21.3</v>
      </c>
      <c r="Y23" s="19" t="n">
        <f aca="false">IF(O23="",PERCENTILE($O$6:$O$30,Assumptions!$B$36),O23)</f>
        <v>39</v>
      </c>
      <c r="Z23" s="19" t="n">
        <f aca="false">W23*Assumptions!$B$16+X23*Assumptions!$B$17</f>
        <v>41.25</v>
      </c>
      <c r="AA23" s="19" t="n">
        <f aca="false">U23*Assumptions!$B$18+V23*Assumptions!$B$19</f>
        <v>29.5</v>
      </c>
      <c r="AB23" s="19" t="n">
        <f aca="false">AVERAGE(P23:R23)</f>
        <v>60</v>
      </c>
      <c r="AC23" s="16" t="n">
        <v>0</v>
      </c>
      <c r="AD23" s="20" t="n">
        <f aca="false">MIN(100,Z23*Assumptions!$B$11+AA23*Assumptions!$B$12+Y23*Assumptions!$B$13+AB23*Assumptions!$B$14+AC23*Assumptions!$B$20)</f>
        <v>42.075</v>
      </c>
      <c r="AE23" s="21" t="n">
        <f aca="false">MIN(1,SUMIFS(Network!$V$15:$V$30,Network!$D$15:$D$30,$A23,Network!$U$15:$U$30,1))</f>
        <v>0</v>
      </c>
      <c r="AF23" s="21" t="n">
        <f aca="false">MIN(1,SUMIFS(Network!$W$15:$W$30,Network!$D$15:$D$30,$A23,Network!$U$15:$U$30,1))</f>
        <v>1</v>
      </c>
      <c r="AG23" s="21" t="n">
        <f aca="false">MIN(1,SUMIFS(Network!$X$15:$X$30,Network!$D$15:$D$30,$A23,Network!$U$15:$U$30,1))</f>
        <v>1</v>
      </c>
      <c r="AH23" s="22" t="n">
        <f aca="false">AE23*Assumptions!$B$5+AF23*Assumptions!$B$6+AG23*Assumptions!$B$7</f>
        <v>936</v>
      </c>
      <c r="AI23" s="23" t="n">
        <f aca="false">AH23/Assumptions!$B$8</f>
        <v>0.6</v>
      </c>
      <c r="AJ23" s="24" t="n">
        <f aca="false">AH23/52</f>
        <v>18</v>
      </c>
      <c r="AK23" s="22" t="n">
        <f aca="false">AJ23*I23</f>
        <v>72</v>
      </c>
      <c r="AL23" s="19" t="n">
        <f aca="false">MIN(100,I23/Assumptions!$B$26*100)</f>
        <v>11.1111111111111</v>
      </c>
      <c r="AM23" s="19" t="n">
        <f aca="false">MIN(100,H23/Assumptions!$B$27*100)</f>
        <v>33.3333333333333</v>
      </c>
      <c r="AN23" s="20" t="n">
        <f aca="false">AI23*100*Assumptions!$B$23+AL23*Assumptions!$B$24+AM23*Assumptions!$B$25</f>
        <v>40</v>
      </c>
      <c r="AO23" s="25" t="n">
        <f aca="false">AN23*AD23/100</f>
        <v>16.83</v>
      </c>
      <c r="AP23" s="6" t="n">
        <f aca="false">RANK(AO23,$AO$6:$AO$30)+COUNTIF($AO$6:AO23,AO23)-1</f>
        <v>17</v>
      </c>
      <c r="AQ23" s="6" t="str">
        <f aca="false">IF(AO23&gt;=Assumptions!$B$39,"Critical",IF(AO23&gt;=Assumptions!$B$40,"High",IF(AO23&gt;=Assumptions!$B$41,"Elevated","Watch")))</f>
        <v>Watch</v>
      </c>
      <c r="AR23" s="6" t="str">
        <f aca="false">IF(AND(AN23&gt;=Assumptions!$B$42,AD23&gt;=Assumptions!$B$43),"Act now",IF(AN23&gt;=Assumptions!$B$42,"Protect (structural)",IF(AD23&gt;=Assumptions!$B$43,"Remediate supplier","Routine")))</f>
        <v>Routine</v>
      </c>
      <c r="AS23" s="6" t="n">
        <f aca="false">_xlfn.MAXIFS(Network!$T$5:$T$36,Network!$D$5:$D$36,$A23)</f>
        <v>2</v>
      </c>
      <c r="AT23" s="6" t="n">
        <f aca="false">COUNT(K23:R23)</f>
        <v>8</v>
      </c>
      <c r="AU23" s="6" t="n">
        <f aca="false">IF(AT23&gt;=8,2,IF(AT23&gt;=6,1,0))</f>
        <v>2</v>
      </c>
      <c r="AV23" s="6" t="n">
        <f aca="false">IF(OR(C23=1,LEFT(G23,9)="Confirmed"),1,0)</f>
        <v>0</v>
      </c>
      <c r="AW23" s="6" t="n">
        <f aca="false">AS23+AU23+AV23</f>
        <v>4</v>
      </c>
      <c r="AX23" s="26" t="str">
        <f aca="false">IF(AW23&gt;=Assumptions!$B$44,"High",IF(AW23&gt;=Assumptions!$B$45,"Medium","Low"))</f>
        <v>Medium</v>
      </c>
      <c r="AY23" s="14" t="str">
        <f aca="false">IF(OR(AQ23="Critical",AQ23="High"),IF(AX23="Low","VERIFY first – urgent sub-tier fact-find",IF(OR(AQ23="Critical",AV23=1),"ACT – mitigate now","CONFIRM sole-source status, then qualify alternate")),IF(AQ23="Elevated",IF(AX23="Low","VERIFY – add to N-tier survey","PLAN – qualify alternate in 90 days"),"MONITOR – quarterly review"))</f>
        <v>MONITOR – quarterly review</v>
      </c>
      <c r="AZ23" s="14" t="str">
        <f aca="false">IF(K23&amp;L23&amp;O23&lt;&gt;"",IF(OR(K23="",L23="",O23=""),TRIM(IF(K23="","Current ratio; ","")&amp;IF(L23="","Net debt/EBITDA; ","")&amp;IF(O23="","Assurance gap","")),"—"),"Current ratio; Net debt/EBITDA; Assurance gap")</f>
        <v>—</v>
      </c>
    </row>
    <row r="24" customFormat="false" ht="23.85" hidden="false" customHeight="false" outlineLevel="0" collapsed="false">
      <c r="A24" s="6" t="s">
        <v>151</v>
      </c>
      <c r="B24" s="7" t="str">
        <f aca="false">INDEX(Data!$B$5:$B$34,MATCH($A24,Data!$A$5:$A$34,0))</f>
        <v>Quartz Alloy Ltd.</v>
      </c>
      <c r="C24" s="6" t="n">
        <v>2</v>
      </c>
      <c r="D24" s="14" t="s">
        <v>152</v>
      </c>
      <c r="E24" s="7" t="str">
        <f aca="false">INDEX(Data!$G$38:$G$67,MATCH($A24,Data!$A$38:$A$67,0))</f>
        <v>SITE-130</v>
      </c>
      <c r="F24" s="7" t="str">
        <f aca="false">INDEX(Data!$I$38:$I$67,MATCH($A24,Data!$A$38:$A$67,0))</f>
        <v>Z02</v>
      </c>
      <c r="G24" s="15" t="s">
        <v>131</v>
      </c>
      <c r="H24" s="16" t="n">
        <v>1</v>
      </c>
      <c r="I24" s="17" t="n">
        <v>4</v>
      </c>
      <c r="J24" s="14" t="s">
        <v>153</v>
      </c>
      <c r="K24" s="18" t="n">
        <f aca="false">IF(INDEX(Data!$C$5:$C$34,MATCH($A24,Data!$A$5:$A$34,0))="","",INDEX(Data!$C$5:$C$34,MATCH($A24,Data!$A$5:$A$34,0)))</f>
        <v>2.43</v>
      </c>
      <c r="L24" s="18" t="n">
        <f aca="false">IF(INDEX(Data!$D$5:$D$34,MATCH($A24,Data!$A$5:$A$34,0))="","",INDEX(Data!$D$5:$D$34,MATCH($A24,Data!$A$5:$A$34,0)))</f>
        <v>1.33</v>
      </c>
      <c r="M24" s="8" t="n">
        <f aca="false">IF(INDEX(Data!$E$5:$E$34,MATCH($A24,Data!$A$5:$A$34,0))="","",INDEX(Data!$E$5:$E$34,MATCH($A24,Data!$A$5:$A$34,0)))</f>
        <v>84.6</v>
      </c>
      <c r="N24" s="8" t="n">
        <f aca="false">IF(INDEX(Data!$F$5:$F$34,MATCH($A24,Data!$A$5:$A$34,0))="","",INDEX(Data!$F$5:$F$34,MATCH($A24,Data!$A$5:$A$34,0)))</f>
        <v>-2.1</v>
      </c>
      <c r="O24" s="8" t="n">
        <f aca="false">IF(INDEX(Data!$G$5:$G$34,MATCH($A24,Data!$A$5:$A$34,0))="","",INDEX(Data!$G$5:$G$34,MATCH($A24,Data!$A$5:$A$34,0)))</f>
        <v>48</v>
      </c>
      <c r="P24" s="8" t="n">
        <f aca="false">IF(INDEX(Data!$H$5:$H$34,MATCH($A24,Data!$A$5:$A$34,0))="","",INDEX(Data!$H$5:$H$34,MATCH($A24,Data!$A$5:$A$34,0)))</f>
        <v>27</v>
      </c>
      <c r="Q24" s="8" t="n">
        <f aca="false">IF(INDEX(Data!$I$5:$I$34,MATCH($A24,Data!$A$5:$A$34,0))="","",INDEX(Data!$I$5:$I$34,MATCH($A24,Data!$A$5:$A$34,0)))</f>
        <v>30</v>
      </c>
      <c r="R24" s="8" t="n">
        <f aca="false">IF(INDEX(Data!$J$5:$J$34,MATCH($A24,Data!$A$5:$A$34,0))="","",INDEX(Data!$J$5:$J$34,MATCH($A24,Data!$A$5:$A$34,0)))</f>
        <v>24</v>
      </c>
      <c r="S24" s="19" t="n">
        <f aca="false">IF(L24="","",IF(L24&lt;=Assumptions!$B$31,Assumptions!$H$31,IF(L24&lt;=Assumptions!$C$31,Assumptions!$H$31+(L24-Assumptions!$B$31)/(Assumptions!$C$31-Assumptions!$B$31)*(Assumptions!$I$31-Assumptions!$H$31),IF(L24&lt;=Assumptions!$D$31,Assumptions!$I$31+(L24-Assumptions!$C$31)/(Assumptions!$D$31-Assumptions!$C$31)*(Assumptions!$J$31-Assumptions!$I$31),IF(L24&lt;=Assumptions!$E$31,Assumptions!$J$31+(L24-Assumptions!$D$31)/(Assumptions!$E$31-Assumptions!$D$31)*(Assumptions!$K$31-Assumptions!$J$31),IF(L24&lt;=Assumptions!$F$31,Assumptions!$K$31+(L24-Assumptions!$E$31)/(Assumptions!$F$31-Assumptions!$E$31)*(Assumptions!$L$31-Assumptions!$K$31),IF(L24&lt;=Assumptions!$G$31,Assumptions!$L$31+(L24-Assumptions!$F$31)/(Assumptions!$G$31-Assumptions!$F$31)*(Assumptions!$M$31-Assumptions!$L$31),Assumptions!$M$31)))))))</f>
        <v>15.96</v>
      </c>
      <c r="T24" s="19" t="n">
        <f aca="false">IF(K24="","",IF(K24&lt;=Assumptions!$B$32,Assumptions!$H$32,IF(K24&lt;=Assumptions!$C$32,Assumptions!$H$32+(K24-Assumptions!$B$32)/(Assumptions!$C$32-Assumptions!$B$32)*(Assumptions!$I$32-Assumptions!$H$32),IF(K24&lt;=Assumptions!$D$32,Assumptions!$I$32+(K24-Assumptions!$C$32)/(Assumptions!$D$32-Assumptions!$C$32)*(Assumptions!$J$32-Assumptions!$I$32),IF(K24&lt;=Assumptions!$E$32,Assumptions!$J$32+(K24-Assumptions!$D$32)/(Assumptions!$E$32-Assumptions!$D$32)*(Assumptions!$K$32-Assumptions!$J$32),IF(K24&lt;=Assumptions!$F$32,Assumptions!$K$32+(K24-Assumptions!$E$32)/(Assumptions!$F$32-Assumptions!$E$32)*(Assumptions!$L$32-Assumptions!$K$32),IF(K24&lt;=Assumptions!$G$32,Assumptions!$L$32+(K24-Assumptions!$F$32)/(Assumptions!$G$32-Assumptions!$F$32)*(Assumptions!$M$32-Assumptions!$L$32),Assumptions!$M$32)))))))</f>
        <v>2.09999999999999</v>
      </c>
      <c r="U24" s="19" t="n">
        <f aca="false">IF(M24&lt;=Assumptions!$B$33,Assumptions!$H$33,IF(M24&lt;=Assumptions!$C$33,Assumptions!$H$33+(M24-Assumptions!$B$33)/(Assumptions!$C$33-Assumptions!$B$33)*(Assumptions!$I$33-Assumptions!$H$33),IF(M24&lt;=Assumptions!$D$33,Assumptions!$I$33+(M24-Assumptions!$C$33)/(Assumptions!$D$33-Assumptions!$C$33)*(Assumptions!$J$33-Assumptions!$I$33),IF(M24&lt;=Assumptions!$E$33,Assumptions!$J$33+(M24-Assumptions!$D$33)/(Assumptions!$E$33-Assumptions!$D$33)*(Assumptions!$K$33-Assumptions!$J$33),IF(M24&lt;=Assumptions!$F$33,Assumptions!$K$33+(M24-Assumptions!$E$33)/(Assumptions!$F$33-Assumptions!$E$33)*(Assumptions!$L$33-Assumptions!$K$33),IF(M24&lt;=Assumptions!$G$33,Assumptions!$L$33+(M24-Assumptions!$F$33)/(Assumptions!$G$33-Assumptions!$F$33)*(Assumptions!$M$33-Assumptions!$L$33),Assumptions!$M$33))))))</f>
        <v>52</v>
      </c>
      <c r="V24" s="19" t="n">
        <f aca="false">IF(N24&lt;=Assumptions!$B$34,Assumptions!$H$34,IF(N24&lt;=Assumptions!$C$34,Assumptions!$H$34+(N24-Assumptions!$B$34)/(Assumptions!$C$34-Assumptions!$B$34)*(Assumptions!$I$34-Assumptions!$H$34),IF(N24&lt;=Assumptions!$D$34,Assumptions!$I$34+(N24-Assumptions!$C$34)/(Assumptions!$D$34-Assumptions!$C$34)*(Assumptions!$J$34-Assumptions!$I$34),IF(N24&lt;=Assumptions!$E$34,Assumptions!$J$34+(N24-Assumptions!$D$34)/(Assumptions!$E$34-Assumptions!$D$34)*(Assumptions!$K$34-Assumptions!$J$34),IF(N24&lt;=Assumptions!$F$34,Assumptions!$K$34+(N24-Assumptions!$E$34)/(Assumptions!$F$34-Assumptions!$E$34)*(Assumptions!$L$34-Assumptions!$K$34),IF(N24&lt;=Assumptions!$G$34,Assumptions!$L$34+(N24-Assumptions!$F$34)/(Assumptions!$G$34-Assumptions!$F$34)*(Assumptions!$M$34-Assumptions!$L$34),Assumptions!$M$34))))))</f>
        <v>35.6666666666667</v>
      </c>
      <c r="W24" s="19" t="n">
        <f aca="false">IF(S24="",PERCENTILE($S$6:$S$30,Assumptions!$B$36),S24)</f>
        <v>15.96</v>
      </c>
      <c r="X24" s="19" t="n">
        <f aca="false">IF(T24="",PERCENTILE($T$6:$T$30,Assumptions!$B$36),T24)</f>
        <v>2.09999999999999</v>
      </c>
      <c r="Y24" s="19" t="n">
        <f aca="false">IF(O24="",PERCENTILE($O$6:$O$30,Assumptions!$B$36),O24)</f>
        <v>48</v>
      </c>
      <c r="Z24" s="19" t="n">
        <f aca="false">W24*Assumptions!$B$16+X24*Assumptions!$B$17</f>
        <v>9.03</v>
      </c>
      <c r="AA24" s="19" t="n">
        <f aca="false">U24*Assumptions!$B$18+V24*Assumptions!$B$19</f>
        <v>43.8333333333334</v>
      </c>
      <c r="AB24" s="19" t="n">
        <f aca="false">AVERAGE(P24:R24)</f>
        <v>27</v>
      </c>
      <c r="AC24" s="16" t="n">
        <v>0</v>
      </c>
      <c r="AD24" s="20" t="n">
        <f aca="false">MIN(100,Z24*Assumptions!$B$11+AA24*Assumptions!$B$12+Y24*Assumptions!$B$13+AB24*Assumptions!$B$14+AC24*Assumptions!$B$20)</f>
        <v>29.809</v>
      </c>
      <c r="AE24" s="21" t="n">
        <f aca="false">MIN(1,SUMIFS(Network!$V$15:$V$30,Network!$D$15:$D$30,$A24,Network!$U$15:$U$30,1))</f>
        <v>1</v>
      </c>
      <c r="AF24" s="21" t="n">
        <f aca="false">MIN(1,SUMIFS(Network!$W$15:$W$30,Network!$D$15:$D$30,$A24,Network!$U$15:$U$30,1))</f>
        <v>0</v>
      </c>
      <c r="AG24" s="21" t="n">
        <f aca="false">MIN(1,SUMIFS(Network!$X$15:$X$30,Network!$D$15:$D$30,$A24,Network!$U$15:$U$30,1))</f>
        <v>0</v>
      </c>
      <c r="AH24" s="22" t="n">
        <f aca="false">AE24*Assumptions!$B$5+AF24*Assumptions!$B$6+AG24*Assumptions!$B$7</f>
        <v>624</v>
      </c>
      <c r="AI24" s="23" t="n">
        <f aca="false">AH24/Assumptions!$B$8</f>
        <v>0.4</v>
      </c>
      <c r="AJ24" s="24" t="n">
        <f aca="false">AH24/52</f>
        <v>12</v>
      </c>
      <c r="AK24" s="22" t="n">
        <f aca="false">AJ24*I24</f>
        <v>48</v>
      </c>
      <c r="AL24" s="19" t="n">
        <f aca="false">MIN(100,I24/Assumptions!$B$26*100)</f>
        <v>11.1111111111111</v>
      </c>
      <c r="AM24" s="19" t="n">
        <f aca="false">MIN(100,H24/Assumptions!$B$27*100)</f>
        <v>33.3333333333333</v>
      </c>
      <c r="AN24" s="20" t="n">
        <f aca="false">AI24*100*Assumptions!$B$23+AL24*Assumptions!$B$24+AM24*Assumptions!$B$25</f>
        <v>30</v>
      </c>
      <c r="AO24" s="25" t="n">
        <f aca="false">AN24*AD24/100</f>
        <v>8.9427</v>
      </c>
      <c r="AP24" s="6" t="n">
        <f aca="false">RANK(AO24,$AO$6:$AO$30)+COUNTIF($AO$6:AO24,AO24)-1</f>
        <v>24</v>
      </c>
      <c r="AQ24" s="6" t="str">
        <f aca="false">IF(AO24&gt;=Assumptions!$B$39,"Critical",IF(AO24&gt;=Assumptions!$B$40,"High",IF(AO24&gt;=Assumptions!$B$41,"Elevated","Watch")))</f>
        <v>Watch</v>
      </c>
      <c r="AR24" s="6" t="str">
        <f aca="false">IF(AND(AN24&gt;=Assumptions!$B$42,AD24&gt;=Assumptions!$B$43),"Act now",IF(AN24&gt;=Assumptions!$B$42,"Protect (structural)",IF(AD24&gt;=Assumptions!$B$43,"Remediate supplier","Routine")))</f>
        <v>Routine</v>
      </c>
      <c r="AS24" s="6" t="n">
        <f aca="false">_xlfn.MAXIFS(Network!$T$5:$T$36,Network!$D$5:$D$36,$A24)</f>
        <v>2</v>
      </c>
      <c r="AT24" s="6" t="n">
        <f aca="false">COUNT(K24:R24)</f>
        <v>8</v>
      </c>
      <c r="AU24" s="6" t="n">
        <f aca="false">IF(AT24&gt;=8,2,IF(AT24&gt;=6,1,0))</f>
        <v>2</v>
      </c>
      <c r="AV24" s="6" t="n">
        <f aca="false">IF(OR(C24=1,LEFT(G24,9)="Confirmed"),1,0)</f>
        <v>0</v>
      </c>
      <c r="AW24" s="6" t="n">
        <f aca="false">AS24+AU24+AV24</f>
        <v>4</v>
      </c>
      <c r="AX24" s="26" t="str">
        <f aca="false">IF(AW24&gt;=Assumptions!$B$44,"High",IF(AW24&gt;=Assumptions!$B$45,"Medium","Low"))</f>
        <v>Medium</v>
      </c>
      <c r="AY24" s="14" t="str">
        <f aca="false">IF(OR(AQ24="Critical",AQ24="High"),IF(AX24="Low","VERIFY first – urgent sub-tier fact-find",IF(OR(AQ24="Critical",AV24=1),"ACT – mitigate now","CONFIRM sole-source status, then qualify alternate")),IF(AQ24="Elevated",IF(AX24="Low","VERIFY – add to N-tier survey","PLAN – qualify alternate in 90 days"),"MONITOR – quarterly review"))</f>
        <v>MONITOR – quarterly review</v>
      </c>
      <c r="AZ24" s="14" t="str">
        <f aca="false">IF(K24&amp;L24&amp;O24&lt;&gt;"",IF(OR(K24="",L24="",O24=""),TRIM(IF(K24="","Current ratio; ","")&amp;IF(L24="","Net debt/EBITDA; ","")&amp;IF(O24="","Assurance gap","")),"—"),"Current ratio; Net debt/EBITDA; Assurance gap")</f>
        <v>—</v>
      </c>
    </row>
    <row r="25" customFormat="false" ht="35.05" hidden="false" customHeight="false" outlineLevel="0" collapsed="false">
      <c r="A25" s="6" t="s">
        <v>154</v>
      </c>
      <c r="B25" s="7" t="str">
        <f aca="false">INDEX(Data!$B$5:$B$34,MATCH($A25,Data!$A$5:$A$34,0))</f>
        <v>Umber Silicon Carbide Ltd.</v>
      </c>
      <c r="C25" s="6" t="n">
        <v>3</v>
      </c>
      <c r="D25" s="14" t="s">
        <v>155</v>
      </c>
      <c r="E25" s="7" t="str">
        <f aca="false">INDEX(Data!$G$38:$G$67,MATCH($A25,Data!$A$38:$A$67,0))</f>
        <v>SITE-158</v>
      </c>
      <c r="F25" s="7" t="str">
        <f aca="false">INDEX(Data!$I$38:$I$67,MATCH($A25,Data!$A$38:$A$67,0))</f>
        <v>Z01</v>
      </c>
      <c r="G25" s="15" t="s">
        <v>131</v>
      </c>
      <c r="H25" s="16" t="n">
        <v>2</v>
      </c>
      <c r="I25" s="17" t="n">
        <v>36</v>
      </c>
      <c r="J25" s="14" t="s">
        <v>156</v>
      </c>
      <c r="K25" s="18" t="str">
        <f aca="false">IF(INDEX(Data!$C$5:$C$34,MATCH($A25,Data!$A$5:$A$34,0))="","",INDEX(Data!$C$5:$C$34,MATCH($A25,Data!$A$5:$A$34,0)))</f>
        <v/>
      </c>
      <c r="L25" s="18" t="str">
        <f aca="false">IF(INDEX(Data!$D$5:$D$34,MATCH($A25,Data!$A$5:$A$34,0))="","",INDEX(Data!$D$5:$D$34,MATCH($A25,Data!$A$5:$A$34,0)))</f>
        <v/>
      </c>
      <c r="M25" s="8" t="n">
        <f aca="false">IF(INDEX(Data!$E$5:$E$34,MATCH($A25,Data!$A$5:$A$34,0))="","",INDEX(Data!$E$5:$E$34,MATCH($A25,Data!$A$5:$A$34,0)))</f>
        <v>80.5</v>
      </c>
      <c r="N25" s="8" t="n">
        <f aca="false">IF(INDEX(Data!$F$5:$F$34,MATCH($A25,Data!$A$5:$A$34,0))="","",INDEX(Data!$F$5:$F$34,MATCH($A25,Data!$A$5:$A$34,0)))</f>
        <v>-2.2</v>
      </c>
      <c r="O25" s="8" t="str">
        <f aca="false">IF(INDEX(Data!$G$5:$G$34,MATCH($A25,Data!$A$5:$A$34,0))="","",INDEX(Data!$G$5:$G$34,MATCH($A25,Data!$A$5:$A$34,0)))</f>
        <v/>
      </c>
      <c r="P25" s="8" t="n">
        <f aca="false">IF(INDEX(Data!$H$5:$H$34,MATCH($A25,Data!$A$5:$A$34,0))="","",INDEX(Data!$H$5:$H$34,MATCH($A25,Data!$A$5:$A$34,0)))</f>
        <v>82</v>
      </c>
      <c r="Q25" s="8" t="n">
        <f aca="false">IF(INDEX(Data!$I$5:$I$34,MATCH($A25,Data!$A$5:$A$34,0))="","",INDEX(Data!$I$5:$I$34,MATCH($A25,Data!$A$5:$A$34,0)))</f>
        <v>76</v>
      </c>
      <c r="R25" s="8" t="n">
        <f aca="false">IF(INDEX(Data!$J$5:$J$34,MATCH($A25,Data!$A$5:$A$34,0))="","",INDEX(Data!$J$5:$J$34,MATCH($A25,Data!$A$5:$A$34,0)))</f>
        <v>71</v>
      </c>
      <c r="S25" s="19" t="str">
        <f aca="false">IF(L25="","",IF(L25&lt;=Assumptions!$B$31,Assumptions!$H$31,IF(L25&lt;=Assumptions!$C$31,Assumptions!$H$31+(L25-Assumptions!$B$31)/(Assumptions!$C$31-Assumptions!$B$31)*(Assumptions!$I$31-Assumptions!$H$31),IF(L25&lt;=Assumptions!$D$31,Assumptions!$I$31+(L25-Assumptions!$C$31)/(Assumptions!$D$31-Assumptions!$C$31)*(Assumptions!$J$31-Assumptions!$I$31),IF(L25&lt;=Assumptions!$E$31,Assumptions!$J$31+(L25-Assumptions!$D$31)/(Assumptions!$E$31-Assumptions!$D$31)*(Assumptions!$K$31-Assumptions!$J$31),IF(L25&lt;=Assumptions!$F$31,Assumptions!$K$31+(L25-Assumptions!$E$31)/(Assumptions!$F$31-Assumptions!$E$31)*(Assumptions!$L$31-Assumptions!$K$31),IF(L25&lt;=Assumptions!$G$31,Assumptions!$L$31+(L25-Assumptions!$F$31)/(Assumptions!$G$31-Assumptions!$F$31)*(Assumptions!$M$31-Assumptions!$L$31),Assumptions!$M$31)))))))</f>
        <v/>
      </c>
      <c r="T25" s="19" t="str">
        <f aca="false">IF(K25="","",IF(K25&lt;=Assumptions!$B$32,Assumptions!$H$32,IF(K25&lt;=Assumptions!$C$32,Assumptions!$H$32+(K25-Assumptions!$B$32)/(Assumptions!$C$32-Assumptions!$B$32)*(Assumptions!$I$32-Assumptions!$H$32),IF(K25&lt;=Assumptions!$D$32,Assumptions!$I$32+(K25-Assumptions!$C$32)/(Assumptions!$D$32-Assumptions!$C$32)*(Assumptions!$J$32-Assumptions!$I$32),IF(K25&lt;=Assumptions!$E$32,Assumptions!$J$32+(K25-Assumptions!$D$32)/(Assumptions!$E$32-Assumptions!$D$32)*(Assumptions!$K$32-Assumptions!$J$32),IF(K25&lt;=Assumptions!$F$32,Assumptions!$K$32+(K25-Assumptions!$E$32)/(Assumptions!$F$32-Assumptions!$E$32)*(Assumptions!$L$32-Assumptions!$K$32),IF(K25&lt;=Assumptions!$G$32,Assumptions!$L$32+(K25-Assumptions!$F$32)/(Assumptions!$G$32-Assumptions!$F$32)*(Assumptions!$M$32-Assumptions!$L$32),Assumptions!$M$32)))))))</f>
        <v/>
      </c>
      <c r="U25" s="19" t="n">
        <f aca="false">IF(M25&lt;=Assumptions!$B$33,Assumptions!$H$33,IF(M25&lt;=Assumptions!$C$33,Assumptions!$H$33+(M25-Assumptions!$B$33)/(Assumptions!$C$33-Assumptions!$B$33)*(Assumptions!$I$33-Assumptions!$H$33),IF(M25&lt;=Assumptions!$D$33,Assumptions!$I$33+(M25-Assumptions!$C$33)/(Assumptions!$D$33-Assumptions!$C$33)*(Assumptions!$J$33-Assumptions!$I$33),IF(M25&lt;=Assumptions!$E$33,Assumptions!$J$33+(M25-Assumptions!$D$33)/(Assumptions!$E$33-Assumptions!$D$33)*(Assumptions!$K$33-Assumptions!$J$33),IF(M25&lt;=Assumptions!$F$33,Assumptions!$K$33+(M25-Assumptions!$E$33)/(Assumptions!$F$33-Assumptions!$E$33)*(Assumptions!$L$33-Assumptions!$K$33),IF(M25&lt;=Assumptions!$G$33,Assumptions!$L$33+(M25-Assumptions!$F$33)/(Assumptions!$G$33-Assumptions!$F$33)*(Assumptions!$M$33-Assumptions!$L$33),Assumptions!$M$33))))))</f>
        <v>72.5</v>
      </c>
      <c r="V25" s="19" t="n">
        <f aca="false">IF(N25&lt;=Assumptions!$B$34,Assumptions!$H$34,IF(N25&lt;=Assumptions!$C$34,Assumptions!$H$34+(N25-Assumptions!$B$34)/(Assumptions!$C$34-Assumptions!$B$34)*(Assumptions!$I$34-Assumptions!$H$34),IF(N25&lt;=Assumptions!$D$34,Assumptions!$I$34+(N25-Assumptions!$C$34)/(Assumptions!$D$34-Assumptions!$C$34)*(Assumptions!$J$34-Assumptions!$I$34),IF(N25&lt;=Assumptions!$E$34,Assumptions!$J$34+(N25-Assumptions!$D$34)/(Assumptions!$E$34-Assumptions!$D$34)*(Assumptions!$K$34-Assumptions!$J$34),IF(N25&lt;=Assumptions!$F$34,Assumptions!$K$34+(N25-Assumptions!$E$34)/(Assumptions!$F$34-Assumptions!$E$34)*(Assumptions!$L$34-Assumptions!$K$34),IF(N25&lt;=Assumptions!$G$34,Assumptions!$L$34+(N25-Assumptions!$F$34)/(Assumptions!$G$34-Assumptions!$F$34)*(Assumptions!$M$34-Assumptions!$L$34),Assumptions!$M$34))))))</f>
        <v>36.3333333333333</v>
      </c>
      <c r="W25" s="19" t="n">
        <f aca="false">IF(S25="",PERCENTILE($S$6:$S$30,Assumptions!$B$36),S25)</f>
        <v>44.6666666666667</v>
      </c>
      <c r="X25" s="19" t="n">
        <f aca="false">IF(T25="",PERCENTILE($T$6:$T$30,Assumptions!$B$36),T25)</f>
        <v>28.65</v>
      </c>
      <c r="Y25" s="19" t="n">
        <f aca="false">IF(O25="",PERCENTILE($O$6:$O$30,Assumptions!$B$36),O25)</f>
        <v>55.5</v>
      </c>
      <c r="Z25" s="19" t="n">
        <f aca="false">W25*Assumptions!$B$16+X25*Assumptions!$B$17</f>
        <v>36.6583333333333</v>
      </c>
      <c r="AA25" s="19" t="n">
        <f aca="false">U25*Assumptions!$B$18+V25*Assumptions!$B$19</f>
        <v>54.4166666666667</v>
      </c>
      <c r="AB25" s="19" t="n">
        <f aca="false">AVERAGE(P25:R25)</f>
        <v>76.3333333333333</v>
      </c>
      <c r="AC25" s="16" t="n">
        <v>0</v>
      </c>
      <c r="AD25" s="20" t="n">
        <f aca="false">MIN(100,Z25*Assumptions!$B$11+AA25*Assumptions!$B$12+Y25*Assumptions!$B$13+AB25*Assumptions!$B$14+AC25*Assumptions!$B$20)</f>
        <v>54.7308333333333</v>
      </c>
      <c r="AE25" s="21" t="n">
        <f aca="false">MIN(1,SUMIFS(Network!$V$31:$V$36,Network!$D$31:$D$36,$A25,Network!$U$31:$U$36,1))</f>
        <v>1</v>
      </c>
      <c r="AF25" s="21" t="n">
        <f aca="false">MIN(1,SUMIFS(Network!$W$31:$W$36,Network!$D$31:$D$36,$A25,Network!$U$31:$U$36,1))</f>
        <v>1</v>
      </c>
      <c r="AG25" s="21" t="n">
        <f aca="false">MIN(1,SUMIFS(Network!$X$31:$X$36,Network!$D$31:$D$36,$A25,Network!$U$31:$U$36,1))</f>
        <v>1</v>
      </c>
      <c r="AH25" s="22" t="n">
        <f aca="false">AE25*Assumptions!$B$5+AF25*Assumptions!$B$6+AG25*Assumptions!$B$7</f>
        <v>1560</v>
      </c>
      <c r="AI25" s="23" t="n">
        <f aca="false">AH25/Assumptions!$B$8</f>
        <v>1</v>
      </c>
      <c r="AJ25" s="24" t="n">
        <f aca="false">AH25/52</f>
        <v>30</v>
      </c>
      <c r="AK25" s="22" t="n">
        <f aca="false">AJ25*I25</f>
        <v>1080</v>
      </c>
      <c r="AL25" s="19" t="n">
        <f aca="false">MIN(100,I25/Assumptions!$B$26*100)</f>
        <v>100</v>
      </c>
      <c r="AM25" s="19" t="n">
        <f aca="false">MIN(100,H25/Assumptions!$B$27*100)</f>
        <v>66.6666666666667</v>
      </c>
      <c r="AN25" s="20" t="n">
        <f aca="false">AI25*100*Assumptions!$B$23+AL25*Assumptions!$B$24+AM25*Assumptions!$B$25</f>
        <v>93.3333333333333</v>
      </c>
      <c r="AO25" s="25" t="n">
        <f aca="false">AN25*AD25/100</f>
        <v>51.0821111111111</v>
      </c>
      <c r="AP25" s="6" t="n">
        <f aca="false">RANK(AO25,$AO$6:$AO$30)+COUNTIF($AO$6:AO25,AO25)-1</f>
        <v>1</v>
      </c>
      <c r="AQ25" s="6" t="str">
        <f aca="false">IF(AO25&gt;=Assumptions!$B$39,"Critical",IF(AO25&gt;=Assumptions!$B$40,"High",IF(AO25&gt;=Assumptions!$B$41,"Elevated","Watch")))</f>
        <v>Critical</v>
      </c>
      <c r="AR25" s="6" t="str">
        <f aca="false">IF(AND(AN25&gt;=Assumptions!$B$42,AD25&gt;=Assumptions!$B$43),"Act now",IF(AN25&gt;=Assumptions!$B$42,"Protect (structural)",IF(AD25&gt;=Assumptions!$B$43,"Remediate supplier","Routine")))</f>
        <v>Act now</v>
      </c>
      <c r="AS25" s="6" t="n">
        <f aca="false">_xlfn.MAXIFS(Network!$T$5:$T$36,Network!$D$5:$D$36,$A25)</f>
        <v>2</v>
      </c>
      <c r="AT25" s="6" t="n">
        <f aca="false">COUNT(K25:R25)</f>
        <v>5</v>
      </c>
      <c r="AU25" s="6" t="n">
        <f aca="false">IF(AT25&gt;=8,2,IF(AT25&gt;=6,1,0))</f>
        <v>0</v>
      </c>
      <c r="AV25" s="6" t="n">
        <f aca="false">IF(OR(C25=1,LEFT(G25,9)="Confirmed"),1,0)</f>
        <v>0</v>
      </c>
      <c r="AW25" s="6" t="n">
        <f aca="false">AS25+AU25+AV25</f>
        <v>2</v>
      </c>
      <c r="AX25" s="26" t="str">
        <f aca="false">IF(AW25&gt;=Assumptions!$B$44,"High",IF(AW25&gt;=Assumptions!$B$45,"Medium","Low"))</f>
        <v>Low</v>
      </c>
      <c r="AY25" s="14" t="str">
        <f aca="false">IF(OR(AQ25="Critical",AQ25="High"),IF(AX25="Low","VERIFY first – urgent sub-tier fact-find",IF(OR(AQ25="Critical",AV25=1),"ACT – mitigate now","CONFIRM sole-source status, then qualify alternate")),IF(AQ25="Elevated",IF(AX25="Low","VERIFY – add to N-tier survey","PLAN – qualify alternate in 90 days"),"MONITOR – quarterly review"))</f>
        <v>VERIFY first – urgent sub-tier fact-find</v>
      </c>
      <c r="AZ25" s="14" t="str">
        <f aca="false">IF(K25&amp;L25&amp;O25&lt;&gt;"",IF(OR(K25="",L25="",O25=""),TRIM(IF(K25="","Current ratio; ","")&amp;IF(L25="","Net debt/EBITDA; ","")&amp;IF(O25="","Assurance gap","")),"—"),"Current ratio; Net debt/EBITDA; Assurance gap")</f>
        <v>Current ratio; Net debt/EBITDA; Assurance gap</v>
      </c>
    </row>
    <row r="26" customFormat="false" ht="35.05" hidden="false" customHeight="false" outlineLevel="0" collapsed="false">
      <c r="A26" s="6" t="s">
        <v>157</v>
      </c>
      <c r="B26" s="7" t="str">
        <f aca="false">INDEX(Data!$B$5:$B$34,MATCH($A26,Data!$A$5:$A$34,0))</f>
        <v>Verdant Process Gases Ltd.</v>
      </c>
      <c r="C26" s="6" t="n">
        <v>3</v>
      </c>
      <c r="D26" s="14" t="s">
        <v>158</v>
      </c>
      <c r="E26" s="7" t="str">
        <f aca="false">INDEX(Data!$G$38:$G$67,MATCH($A26,Data!$A$38:$A$67,0))</f>
        <v>SITE-165</v>
      </c>
      <c r="F26" s="7" t="str">
        <f aca="false">INDEX(Data!$I$38:$I$67,MATCH($A26,Data!$A$38:$A$67,0))</f>
        <v>Z01</v>
      </c>
      <c r="G26" s="15" t="s">
        <v>159</v>
      </c>
      <c r="H26" s="16" t="n">
        <v>2</v>
      </c>
      <c r="I26" s="17" t="n">
        <v>8</v>
      </c>
      <c r="J26" s="14" t="s">
        <v>160</v>
      </c>
      <c r="K26" s="18" t="str">
        <f aca="false">IF(INDEX(Data!$C$5:$C$34,MATCH($A26,Data!$A$5:$A$34,0))="","",INDEX(Data!$C$5:$C$34,MATCH($A26,Data!$A$5:$A$34,0)))</f>
        <v/>
      </c>
      <c r="L26" s="18" t="str">
        <f aca="false">IF(INDEX(Data!$D$5:$D$34,MATCH($A26,Data!$A$5:$A$34,0))="","",INDEX(Data!$D$5:$D$34,MATCH($A26,Data!$A$5:$A$34,0)))</f>
        <v/>
      </c>
      <c r="M26" s="8" t="n">
        <f aca="false">IF(INDEX(Data!$E$5:$E$34,MATCH($A26,Data!$A$5:$A$34,0))="","",INDEX(Data!$E$5:$E$34,MATCH($A26,Data!$A$5:$A$34,0)))</f>
        <v>81.9</v>
      </c>
      <c r="N26" s="8" t="n">
        <f aca="false">IF(INDEX(Data!$F$5:$F$34,MATCH($A26,Data!$A$5:$A$34,0))="","",INDEX(Data!$F$5:$F$34,MATCH($A26,Data!$A$5:$A$34,0)))</f>
        <v>-0.9</v>
      </c>
      <c r="O26" s="8" t="str">
        <f aca="false">IF(INDEX(Data!$G$5:$G$34,MATCH($A26,Data!$A$5:$A$34,0))="","",INDEX(Data!$G$5:$G$34,MATCH($A26,Data!$A$5:$A$34,0)))</f>
        <v/>
      </c>
      <c r="P26" s="8" t="n">
        <f aca="false">IF(INDEX(Data!$H$5:$H$34,MATCH($A26,Data!$A$5:$A$34,0))="","",INDEX(Data!$H$5:$H$34,MATCH($A26,Data!$A$5:$A$34,0)))</f>
        <v>82</v>
      </c>
      <c r="Q26" s="8" t="n">
        <f aca="false">IF(INDEX(Data!$I$5:$I$34,MATCH($A26,Data!$A$5:$A$34,0))="","",INDEX(Data!$I$5:$I$34,MATCH($A26,Data!$A$5:$A$34,0)))</f>
        <v>76</v>
      </c>
      <c r="R26" s="8" t="n">
        <f aca="false">IF(INDEX(Data!$J$5:$J$34,MATCH($A26,Data!$A$5:$A$34,0))="","",INDEX(Data!$J$5:$J$34,MATCH($A26,Data!$A$5:$A$34,0)))</f>
        <v>71</v>
      </c>
      <c r="S26" s="19" t="str">
        <f aca="false">IF(L26="","",IF(L26&lt;=Assumptions!$B$31,Assumptions!$H$31,IF(L26&lt;=Assumptions!$C$31,Assumptions!$H$31+(L26-Assumptions!$B$31)/(Assumptions!$C$31-Assumptions!$B$31)*(Assumptions!$I$31-Assumptions!$H$31),IF(L26&lt;=Assumptions!$D$31,Assumptions!$I$31+(L26-Assumptions!$C$31)/(Assumptions!$D$31-Assumptions!$C$31)*(Assumptions!$J$31-Assumptions!$I$31),IF(L26&lt;=Assumptions!$E$31,Assumptions!$J$31+(L26-Assumptions!$D$31)/(Assumptions!$E$31-Assumptions!$D$31)*(Assumptions!$K$31-Assumptions!$J$31),IF(L26&lt;=Assumptions!$F$31,Assumptions!$K$31+(L26-Assumptions!$E$31)/(Assumptions!$F$31-Assumptions!$E$31)*(Assumptions!$L$31-Assumptions!$K$31),IF(L26&lt;=Assumptions!$G$31,Assumptions!$L$31+(L26-Assumptions!$F$31)/(Assumptions!$G$31-Assumptions!$F$31)*(Assumptions!$M$31-Assumptions!$L$31),Assumptions!$M$31)))))))</f>
        <v/>
      </c>
      <c r="T26" s="19" t="str">
        <f aca="false">IF(K26="","",IF(K26&lt;=Assumptions!$B$32,Assumptions!$H$32,IF(K26&lt;=Assumptions!$C$32,Assumptions!$H$32+(K26-Assumptions!$B$32)/(Assumptions!$C$32-Assumptions!$B$32)*(Assumptions!$I$32-Assumptions!$H$32),IF(K26&lt;=Assumptions!$D$32,Assumptions!$I$32+(K26-Assumptions!$C$32)/(Assumptions!$D$32-Assumptions!$C$32)*(Assumptions!$J$32-Assumptions!$I$32),IF(K26&lt;=Assumptions!$E$32,Assumptions!$J$32+(K26-Assumptions!$D$32)/(Assumptions!$E$32-Assumptions!$D$32)*(Assumptions!$K$32-Assumptions!$J$32),IF(K26&lt;=Assumptions!$F$32,Assumptions!$K$32+(K26-Assumptions!$E$32)/(Assumptions!$F$32-Assumptions!$E$32)*(Assumptions!$L$32-Assumptions!$K$32),IF(K26&lt;=Assumptions!$G$32,Assumptions!$L$32+(K26-Assumptions!$F$32)/(Assumptions!$G$32-Assumptions!$F$32)*(Assumptions!$M$32-Assumptions!$L$32),Assumptions!$M$32)))))))</f>
        <v/>
      </c>
      <c r="U26" s="19" t="n">
        <f aca="false">IF(M26&lt;=Assumptions!$B$33,Assumptions!$H$33,IF(M26&lt;=Assumptions!$C$33,Assumptions!$H$33+(M26-Assumptions!$B$33)/(Assumptions!$C$33-Assumptions!$B$33)*(Assumptions!$I$33-Assumptions!$H$33),IF(M26&lt;=Assumptions!$D$33,Assumptions!$I$33+(M26-Assumptions!$C$33)/(Assumptions!$D$33-Assumptions!$C$33)*(Assumptions!$J$33-Assumptions!$I$33),IF(M26&lt;=Assumptions!$E$33,Assumptions!$J$33+(M26-Assumptions!$D$33)/(Assumptions!$E$33-Assumptions!$D$33)*(Assumptions!$K$33-Assumptions!$J$33),IF(M26&lt;=Assumptions!$F$33,Assumptions!$K$33+(M26-Assumptions!$E$33)/(Assumptions!$F$33-Assumptions!$E$33)*(Assumptions!$L$33-Assumptions!$K$33),IF(M26&lt;=Assumptions!$G$33,Assumptions!$L$33+(M26-Assumptions!$F$33)/(Assumptions!$G$33-Assumptions!$F$33)*(Assumptions!$M$33-Assumptions!$L$33),Assumptions!$M$33))))))</f>
        <v>65.5</v>
      </c>
      <c r="V26" s="19" t="n">
        <f aca="false">IF(N26&lt;=Assumptions!$B$34,Assumptions!$H$34,IF(N26&lt;=Assumptions!$C$34,Assumptions!$H$34+(N26-Assumptions!$B$34)/(Assumptions!$C$34-Assumptions!$B$34)*(Assumptions!$I$34-Assumptions!$H$34),IF(N26&lt;=Assumptions!$D$34,Assumptions!$I$34+(N26-Assumptions!$C$34)/(Assumptions!$D$34-Assumptions!$C$34)*(Assumptions!$J$34-Assumptions!$I$34),IF(N26&lt;=Assumptions!$E$34,Assumptions!$J$34+(N26-Assumptions!$D$34)/(Assumptions!$E$34-Assumptions!$D$34)*(Assumptions!$K$34-Assumptions!$J$34),IF(N26&lt;=Assumptions!$F$34,Assumptions!$K$34+(N26-Assumptions!$E$34)/(Assumptions!$F$34-Assumptions!$E$34)*(Assumptions!$L$34-Assumptions!$K$34),IF(N26&lt;=Assumptions!$G$34,Assumptions!$L$34+(N26-Assumptions!$F$34)/(Assumptions!$G$34-Assumptions!$F$34)*(Assumptions!$M$34-Assumptions!$L$34),Assumptions!$M$34))))))</f>
        <v>26.75</v>
      </c>
      <c r="W26" s="19" t="n">
        <f aca="false">IF(S26="",PERCENTILE($S$6:$S$30,Assumptions!$B$36),S26)</f>
        <v>44.6666666666667</v>
      </c>
      <c r="X26" s="19" t="n">
        <f aca="false">IF(T26="",PERCENTILE($T$6:$T$30,Assumptions!$B$36),T26)</f>
        <v>28.65</v>
      </c>
      <c r="Y26" s="19" t="n">
        <f aca="false">IF(O26="",PERCENTILE($O$6:$O$30,Assumptions!$B$36),O26)</f>
        <v>55.5</v>
      </c>
      <c r="Z26" s="19" t="n">
        <f aca="false">W26*Assumptions!$B$16+X26*Assumptions!$B$17</f>
        <v>36.6583333333333</v>
      </c>
      <c r="AA26" s="19" t="n">
        <f aca="false">U26*Assumptions!$B$18+V26*Assumptions!$B$19</f>
        <v>46.125</v>
      </c>
      <c r="AB26" s="19" t="n">
        <f aca="false">AVERAGE(P26:R26)</f>
        <v>76.3333333333333</v>
      </c>
      <c r="AC26" s="16" t="n">
        <v>0</v>
      </c>
      <c r="AD26" s="20" t="n">
        <f aca="false">MIN(100,Z26*Assumptions!$B$11+AA26*Assumptions!$B$12+Y26*Assumptions!$B$13+AB26*Assumptions!$B$14+AC26*Assumptions!$B$20)</f>
        <v>52.2433333333333</v>
      </c>
      <c r="AE26" s="21" t="n">
        <f aca="false">MIN(1,SUMIFS(Network!$V$31:$V$36,Network!$D$31:$D$36,$A26,Network!$U$31:$U$36,1))</f>
        <v>1</v>
      </c>
      <c r="AF26" s="21" t="n">
        <f aca="false">MIN(1,SUMIFS(Network!$W$31:$W$36,Network!$D$31:$D$36,$A26,Network!$U$31:$U$36,1))</f>
        <v>1</v>
      </c>
      <c r="AG26" s="21" t="n">
        <f aca="false">MIN(1,SUMIFS(Network!$X$31:$X$36,Network!$D$31:$D$36,$A26,Network!$U$31:$U$36,1))</f>
        <v>1</v>
      </c>
      <c r="AH26" s="22" t="n">
        <f aca="false">AE26*Assumptions!$B$5+AF26*Assumptions!$B$6+AG26*Assumptions!$B$7</f>
        <v>1560</v>
      </c>
      <c r="AI26" s="23" t="n">
        <f aca="false">AH26/Assumptions!$B$8</f>
        <v>1</v>
      </c>
      <c r="AJ26" s="24" t="n">
        <f aca="false">AH26/52</f>
        <v>30</v>
      </c>
      <c r="AK26" s="22" t="n">
        <f aca="false">AJ26*I26</f>
        <v>240</v>
      </c>
      <c r="AL26" s="19" t="n">
        <f aca="false">MIN(100,I26/Assumptions!$B$26*100)</f>
        <v>22.2222222222222</v>
      </c>
      <c r="AM26" s="19" t="n">
        <f aca="false">MIN(100,H26/Assumptions!$B$27*100)</f>
        <v>66.6666666666667</v>
      </c>
      <c r="AN26" s="20" t="n">
        <f aca="false">AI26*100*Assumptions!$B$23+AL26*Assumptions!$B$24+AM26*Assumptions!$B$25</f>
        <v>70</v>
      </c>
      <c r="AO26" s="25" t="n">
        <f aca="false">AN26*AD26/100</f>
        <v>36.5703333333333</v>
      </c>
      <c r="AP26" s="6" t="n">
        <f aca="false">RANK(AO26,$AO$6:$AO$30)+COUNTIF($AO$6:AO26,AO26)-1</f>
        <v>5</v>
      </c>
      <c r="AQ26" s="6" t="str">
        <f aca="false">IF(AO26&gt;=Assumptions!$B$39,"Critical",IF(AO26&gt;=Assumptions!$B$40,"High",IF(AO26&gt;=Assumptions!$B$41,"Elevated","Watch")))</f>
        <v>High</v>
      </c>
      <c r="AR26" s="6" t="str">
        <f aca="false">IF(AND(AN26&gt;=Assumptions!$B$42,AD26&gt;=Assumptions!$B$43),"Act now",IF(AN26&gt;=Assumptions!$B$42,"Protect (structural)",IF(AD26&gt;=Assumptions!$B$43,"Remediate supplier","Routine")))</f>
        <v>Act now</v>
      </c>
      <c r="AS26" s="6" t="n">
        <f aca="false">_xlfn.MAXIFS(Network!$T$5:$T$36,Network!$D$5:$D$36,$A26)</f>
        <v>1</v>
      </c>
      <c r="AT26" s="6" t="n">
        <f aca="false">COUNT(K26:R26)</f>
        <v>5</v>
      </c>
      <c r="AU26" s="6" t="n">
        <f aca="false">IF(AT26&gt;=8,2,IF(AT26&gt;=6,1,0))</f>
        <v>0</v>
      </c>
      <c r="AV26" s="6" t="n">
        <f aca="false">IF(OR(C26=1,LEFT(G26,9)="Confirmed"),1,0)</f>
        <v>0</v>
      </c>
      <c r="AW26" s="6" t="n">
        <f aca="false">AS26+AU26+AV26</f>
        <v>1</v>
      </c>
      <c r="AX26" s="26" t="str">
        <f aca="false">IF(AW26&gt;=Assumptions!$B$44,"High",IF(AW26&gt;=Assumptions!$B$45,"Medium","Low"))</f>
        <v>Low</v>
      </c>
      <c r="AY26" s="14" t="str">
        <f aca="false">IF(OR(AQ26="Critical",AQ26="High"),IF(AX26="Low","VERIFY first – urgent sub-tier fact-find",IF(OR(AQ26="Critical",AV26=1),"ACT – mitigate now","CONFIRM sole-source status, then qualify alternate")),IF(AQ26="Elevated",IF(AX26="Low","VERIFY – add to N-tier survey","PLAN – qualify alternate in 90 days"),"MONITOR – quarterly review"))</f>
        <v>VERIFY first – urgent sub-tier fact-find</v>
      </c>
      <c r="AZ26" s="14" t="str">
        <f aca="false">IF(K26&amp;L26&amp;O26&lt;&gt;"",IF(OR(K26="",L26="",O26=""),TRIM(IF(K26="","Current ratio; ","")&amp;IF(L26="","Net debt/EBITDA; ","")&amp;IF(O26="","Assurance gap","")),"—"),"Current ratio; Net debt/EBITDA; Assurance gap")</f>
        <v>Current ratio; Net debt/EBITDA; Assurance gap</v>
      </c>
    </row>
    <row r="27" customFormat="false" ht="35.05" hidden="false" customHeight="false" outlineLevel="0" collapsed="false">
      <c r="A27" s="6" t="s">
        <v>161</v>
      </c>
      <c r="B27" s="7" t="str">
        <f aca="false">INDEX(Data!$B$5:$B$34,MATCH($A27,Data!$A$5:$A$34,0))</f>
        <v>Yarrow Specialty Minerals Ltd.</v>
      </c>
      <c r="C27" s="6" t="n">
        <v>3</v>
      </c>
      <c r="D27" s="14" t="s">
        <v>162</v>
      </c>
      <c r="E27" s="7" t="str">
        <f aca="false">INDEX(Data!$G$38:$G$67,MATCH($A27,Data!$A$38:$A$67,0))</f>
        <v>SITE-186</v>
      </c>
      <c r="F27" s="7" t="str">
        <f aca="false">INDEX(Data!$I$38:$I$67,MATCH($A27,Data!$A$38:$A$67,0))</f>
        <v>Z08</v>
      </c>
      <c r="G27" s="15" t="s">
        <v>131</v>
      </c>
      <c r="H27" s="16" t="n">
        <v>2</v>
      </c>
      <c r="I27" s="17" t="n">
        <v>12</v>
      </c>
      <c r="J27" s="14" t="s">
        <v>163</v>
      </c>
      <c r="K27" s="18" t="str">
        <f aca="false">IF(INDEX(Data!$C$5:$C$34,MATCH($A27,Data!$A$5:$A$34,0))="","",INDEX(Data!$C$5:$C$34,MATCH($A27,Data!$A$5:$A$34,0)))</f>
        <v/>
      </c>
      <c r="L27" s="18" t="str">
        <f aca="false">IF(INDEX(Data!$D$5:$D$34,MATCH($A27,Data!$A$5:$A$34,0))="","",INDEX(Data!$D$5:$D$34,MATCH($A27,Data!$A$5:$A$34,0)))</f>
        <v/>
      </c>
      <c r="M27" s="8" t="n">
        <f aca="false">IF(INDEX(Data!$E$5:$E$34,MATCH($A27,Data!$A$5:$A$34,0))="","",INDEX(Data!$E$5:$E$34,MATCH($A27,Data!$A$5:$A$34,0)))</f>
        <v>90.1</v>
      </c>
      <c r="N27" s="8" t="n">
        <f aca="false">IF(INDEX(Data!$F$5:$F$34,MATCH($A27,Data!$A$5:$A$34,0))="","",INDEX(Data!$F$5:$F$34,MATCH($A27,Data!$A$5:$A$34,0)))</f>
        <v>-1.2</v>
      </c>
      <c r="O27" s="8" t="str">
        <f aca="false">IF(INDEX(Data!$G$5:$G$34,MATCH($A27,Data!$A$5:$A$34,0))="","",INDEX(Data!$G$5:$G$34,MATCH($A27,Data!$A$5:$A$34,0)))</f>
        <v/>
      </c>
      <c r="P27" s="8" t="n">
        <f aca="false">IF(INDEX(Data!$H$5:$H$34,MATCH($A27,Data!$A$5:$A$34,0))="","",INDEX(Data!$H$5:$H$34,MATCH($A27,Data!$A$5:$A$34,0)))</f>
        <v>39</v>
      </c>
      <c r="Q27" s="8" t="n">
        <f aca="false">IF(INDEX(Data!$I$5:$I$34,MATCH($A27,Data!$A$5:$A$34,0))="","",INDEX(Data!$I$5:$I$34,MATCH($A27,Data!$A$5:$A$34,0)))</f>
        <v>47</v>
      </c>
      <c r="R27" s="8" t="n">
        <f aca="false">IF(INDEX(Data!$J$5:$J$34,MATCH($A27,Data!$A$5:$A$34,0))="","",INDEX(Data!$J$5:$J$34,MATCH($A27,Data!$A$5:$A$34,0)))</f>
        <v>41</v>
      </c>
      <c r="S27" s="19" t="str">
        <f aca="false">IF(L27="","",IF(L27&lt;=Assumptions!$B$31,Assumptions!$H$31,IF(L27&lt;=Assumptions!$C$31,Assumptions!$H$31+(L27-Assumptions!$B$31)/(Assumptions!$C$31-Assumptions!$B$31)*(Assumptions!$I$31-Assumptions!$H$31),IF(L27&lt;=Assumptions!$D$31,Assumptions!$I$31+(L27-Assumptions!$C$31)/(Assumptions!$D$31-Assumptions!$C$31)*(Assumptions!$J$31-Assumptions!$I$31),IF(L27&lt;=Assumptions!$E$31,Assumptions!$J$31+(L27-Assumptions!$D$31)/(Assumptions!$E$31-Assumptions!$D$31)*(Assumptions!$K$31-Assumptions!$J$31),IF(L27&lt;=Assumptions!$F$31,Assumptions!$K$31+(L27-Assumptions!$E$31)/(Assumptions!$F$31-Assumptions!$E$31)*(Assumptions!$L$31-Assumptions!$K$31),IF(L27&lt;=Assumptions!$G$31,Assumptions!$L$31+(L27-Assumptions!$F$31)/(Assumptions!$G$31-Assumptions!$F$31)*(Assumptions!$M$31-Assumptions!$L$31),Assumptions!$M$31)))))))</f>
        <v/>
      </c>
      <c r="T27" s="19" t="str">
        <f aca="false">IF(K27="","",IF(K27&lt;=Assumptions!$B$32,Assumptions!$H$32,IF(K27&lt;=Assumptions!$C$32,Assumptions!$H$32+(K27-Assumptions!$B$32)/(Assumptions!$C$32-Assumptions!$B$32)*(Assumptions!$I$32-Assumptions!$H$32),IF(K27&lt;=Assumptions!$D$32,Assumptions!$I$32+(K27-Assumptions!$C$32)/(Assumptions!$D$32-Assumptions!$C$32)*(Assumptions!$J$32-Assumptions!$I$32),IF(K27&lt;=Assumptions!$E$32,Assumptions!$J$32+(K27-Assumptions!$D$32)/(Assumptions!$E$32-Assumptions!$D$32)*(Assumptions!$K$32-Assumptions!$J$32),IF(K27&lt;=Assumptions!$F$32,Assumptions!$K$32+(K27-Assumptions!$E$32)/(Assumptions!$F$32-Assumptions!$E$32)*(Assumptions!$L$32-Assumptions!$K$32),IF(K27&lt;=Assumptions!$G$32,Assumptions!$L$32+(K27-Assumptions!$F$32)/(Assumptions!$G$32-Assumptions!$F$32)*(Assumptions!$M$32-Assumptions!$L$32),Assumptions!$M$32)))))))</f>
        <v/>
      </c>
      <c r="U27" s="19" t="n">
        <f aca="false">IF(M27&lt;=Assumptions!$B$33,Assumptions!$H$33,IF(M27&lt;=Assumptions!$C$33,Assumptions!$H$33+(M27-Assumptions!$B$33)/(Assumptions!$C$33-Assumptions!$B$33)*(Assumptions!$I$33-Assumptions!$H$33),IF(M27&lt;=Assumptions!$D$33,Assumptions!$I$33+(M27-Assumptions!$C$33)/(Assumptions!$D$33-Assumptions!$C$33)*(Assumptions!$J$33-Assumptions!$I$33),IF(M27&lt;=Assumptions!$E$33,Assumptions!$J$33+(M27-Assumptions!$D$33)/(Assumptions!$E$33-Assumptions!$D$33)*(Assumptions!$K$33-Assumptions!$J$33),IF(M27&lt;=Assumptions!$F$33,Assumptions!$K$33+(M27-Assumptions!$E$33)/(Assumptions!$F$33-Assumptions!$E$33)*(Assumptions!$L$33-Assumptions!$K$33),IF(M27&lt;=Assumptions!$G$33,Assumptions!$L$33+(M27-Assumptions!$F$33)/(Assumptions!$G$33-Assumptions!$F$33)*(Assumptions!$M$33-Assumptions!$L$33),Assumptions!$M$33))))))</f>
        <v>24.5</v>
      </c>
      <c r="V27" s="19" t="n">
        <f aca="false">IF(N27&lt;=Assumptions!$B$34,Assumptions!$H$34,IF(N27&lt;=Assumptions!$C$34,Assumptions!$H$34+(N27-Assumptions!$B$34)/(Assumptions!$C$34-Assumptions!$B$34)*(Assumptions!$I$34-Assumptions!$H$34),IF(N27&lt;=Assumptions!$D$34,Assumptions!$I$34+(N27-Assumptions!$C$34)/(Assumptions!$D$34-Assumptions!$C$34)*(Assumptions!$J$34-Assumptions!$I$34),IF(N27&lt;=Assumptions!$E$34,Assumptions!$J$34+(N27-Assumptions!$D$34)/(Assumptions!$E$34-Assumptions!$D$34)*(Assumptions!$K$34-Assumptions!$J$34),IF(N27&lt;=Assumptions!$F$34,Assumptions!$K$34+(N27-Assumptions!$E$34)/(Assumptions!$F$34-Assumptions!$E$34)*(Assumptions!$L$34-Assumptions!$K$34),IF(N27&lt;=Assumptions!$G$34,Assumptions!$L$34+(N27-Assumptions!$F$34)/(Assumptions!$G$34-Assumptions!$F$34)*(Assumptions!$M$34-Assumptions!$L$34),Assumptions!$M$34))))))</f>
        <v>29</v>
      </c>
      <c r="W27" s="19" t="n">
        <f aca="false">IF(S27="",PERCENTILE($S$6:$S$30,Assumptions!$B$36),S27)</f>
        <v>44.6666666666667</v>
      </c>
      <c r="X27" s="19" t="n">
        <f aca="false">IF(T27="",PERCENTILE($T$6:$T$30,Assumptions!$B$36),T27)</f>
        <v>28.65</v>
      </c>
      <c r="Y27" s="19" t="n">
        <f aca="false">IF(O27="",PERCENTILE($O$6:$O$30,Assumptions!$B$36),O27)</f>
        <v>55.5</v>
      </c>
      <c r="Z27" s="19" t="n">
        <f aca="false">W27*Assumptions!$B$16+X27*Assumptions!$B$17</f>
        <v>36.6583333333333</v>
      </c>
      <c r="AA27" s="19" t="n">
        <f aca="false">U27*Assumptions!$B$18+V27*Assumptions!$B$19</f>
        <v>26.75</v>
      </c>
      <c r="AB27" s="19" t="n">
        <f aca="false">AVERAGE(P27:R27)</f>
        <v>42.3333333333333</v>
      </c>
      <c r="AC27" s="16" t="n">
        <v>0</v>
      </c>
      <c r="AD27" s="20" t="n">
        <f aca="false">MIN(100,Z27*Assumptions!$B$11+AA27*Assumptions!$B$12+Y27*Assumptions!$B$13+AB27*Assumptions!$B$14+AC27*Assumptions!$B$20)</f>
        <v>37.9308333333333</v>
      </c>
      <c r="AE27" s="21" t="n">
        <f aca="false">MIN(1,SUMIFS(Network!$V$31:$V$36,Network!$D$31:$D$36,$A27,Network!$U$31:$U$36,1))</f>
        <v>1</v>
      </c>
      <c r="AF27" s="21" t="n">
        <f aca="false">MIN(1,SUMIFS(Network!$W$31:$W$36,Network!$D$31:$D$36,$A27,Network!$U$31:$U$36,1))</f>
        <v>1</v>
      </c>
      <c r="AG27" s="21" t="n">
        <f aca="false">MIN(1,SUMIFS(Network!$X$31:$X$36,Network!$D$31:$D$36,$A27,Network!$U$31:$U$36,1))</f>
        <v>1</v>
      </c>
      <c r="AH27" s="22" t="n">
        <f aca="false">AE27*Assumptions!$B$5+AF27*Assumptions!$B$6+AG27*Assumptions!$B$7</f>
        <v>1560</v>
      </c>
      <c r="AI27" s="23" t="n">
        <f aca="false">AH27/Assumptions!$B$8</f>
        <v>1</v>
      </c>
      <c r="AJ27" s="24" t="n">
        <f aca="false">AH27/52</f>
        <v>30</v>
      </c>
      <c r="AK27" s="22" t="n">
        <f aca="false">AJ27*I27</f>
        <v>360</v>
      </c>
      <c r="AL27" s="19" t="n">
        <f aca="false">MIN(100,I27/Assumptions!$B$26*100)</f>
        <v>33.3333333333333</v>
      </c>
      <c r="AM27" s="19" t="n">
        <f aca="false">MIN(100,H27/Assumptions!$B$27*100)</f>
        <v>66.6666666666667</v>
      </c>
      <c r="AN27" s="20" t="n">
        <f aca="false">AI27*100*Assumptions!$B$23+AL27*Assumptions!$B$24+AM27*Assumptions!$B$25</f>
        <v>73.3333333333333</v>
      </c>
      <c r="AO27" s="25" t="n">
        <f aca="false">AN27*AD27/100</f>
        <v>27.8159444444444</v>
      </c>
      <c r="AP27" s="6" t="n">
        <f aca="false">RANK(AO27,$AO$6:$AO$30)+COUNTIF($AO$6:AO27,AO27)-1</f>
        <v>11</v>
      </c>
      <c r="AQ27" s="6" t="str">
        <f aca="false">IF(AO27&gt;=Assumptions!$B$39,"Critical",IF(AO27&gt;=Assumptions!$B$40,"High",IF(AO27&gt;=Assumptions!$B$41,"Elevated","Watch")))</f>
        <v>Elevated</v>
      </c>
      <c r="AR27" s="6" t="str">
        <f aca="false">IF(AND(AN27&gt;=Assumptions!$B$42,AD27&gt;=Assumptions!$B$43),"Act now",IF(AN27&gt;=Assumptions!$B$42,"Protect (structural)",IF(AD27&gt;=Assumptions!$B$43,"Remediate supplier","Routine")))</f>
        <v>Protect (structural)</v>
      </c>
      <c r="AS27" s="6" t="n">
        <f aca="false">_xlfn.MAXIFS(Network!$T$5:$T$36,Network!$D$5:$D$36,$A27)</f>
        <v>2</v>
      </c>
      <c r="AT27" s="6" t="n">
        <f aca="false">COUNT(K27:R27)</f>
        <v>5</v>
      </c>
      <c r="AU27" s="6" t="n">
        <f aca="false">IF(AT27&gt;=8,2,IF(AT27&gt;=6,1,0))</f>
        <v>0</v>
      </c>
      <c r="AV27" s="6" t="n">
        <f aca="false">IF(OR(C27=1,LEFT(G27,9)="Confirmed"),1,0)</f>
        <v>0</v>
      </c>
      <c r="AW27" s="6" t="n">
        <f aca="false">AS27+AU27+AV27</f>
        <v>2</v>
      </c>
      <c r="AX27" s="26" t="str">
        <f aca="false">IF(AW27&gt;=Assumptions!$B$44,"High",IF(AW27&gt;=Assumptions!$B$45,"Medium","Low"))</f>
        <v>Low</v>
      </c>
      <c r="AY27" s="14" t="str">
        <f aca="false">IF(OR(AQ27="Critical",AQ27="High"),IF(AX27="Low","VERIFY first – urgent sub-tier fact-find",IF(OR(AQ27="Critical",AV27=1),"ACT – mitigate now","CONFIRM sole-source status, then qualify alternate")),IF(AQ27="Elevated",IF(AX27="Low","VERIFY – add to N-tier survey","PLAN – qualify alternate in 90 days"),"MONITOR – quarterly review"))</f>
        <v>VERIFY – add to N-tier survey</v>
      </c>
      <c r="AZ27" s="14" t="str">
        <f aca="false">IF(K27&amp;L27&amp;O27&lt;&gt;"",IF(OR(K27="",L27="",O27=""),TRIM(IF(K27="","Current ratio; ","")&amp;IF(L27="","Net debt/EBITDA; ","")&amp;IF(O27="","Assurance gap","")),"—"),"Current ratio; Net debt/EBITDA; Assurance gap")</f>
        <v>Current ratio; Net debt/EBITDA; Assurance gap</v>
      </c>
    </row>
    <row r="28" customFormat="false" ht="35.05" hidden="false" customHeight="false" outlineLevel="0" collapsed="false">
      <c r="A28" s="6" t="s">
        <v>164</v>
      </c>
      <c r="B28" s="7" t="str">
        <f aca="false">INDEX(Data!$B$5:$B$34,MATCH($A28,Data!$A$5:$A$34,0))</f>
        <v>Warden Copper Foil Ltd.</v>
      </c>
      <c r="C28" s="6" t="n">
        <v>3</v>
      </c>
      <c r="D28" s="14" t="s">
        <v>165</v>
      </c>
      <c r="E28" s="7" t="str">
        <f aca="false">INDEX(Data!$G$38:$G$67,MATCH($A28,Data!$A$38:$A$67,0))</f>
        <v>SITE-172</v>
      </c>
      <c r="F28" s="7" t="str">
        <f aca="false">INDEX(Data!$I$38:$I$67,MATCH($A28,Data!$A$38:$A$67,0))</f>
        <v>Z06</v>
      </c>
      <c r="G28" s="15" t="s">
        <v>131</v>
      </c>
      <c r="H28" s="16" t="n">
        <v>3</v>
      </c>
      <c r="I28" s="17" t="n">
        <v>8</v>
      </c>
      <c r="J28" s="14" t="s">
        <v>163</v>
      </c>
      <c r="K28" s="18" t="str">
        <f aca="false">IF(INDEX(Data!$C$5:$C$34,MATCH($A28,Data!$A$5:$A$34,0))="","",INDEX(Data!$C$5:$C$34,MATCH($A28,Data!$A$5:$A$34,0)))</f>
        <v/>
      </c>
      <c r="L28" s="18" t="str">
        <f aca="false">IF(INDEX(Data!$D$5:$D$34,MATCH($A28,Data!$A$5:$A$34,0))="","",INDEX(Data!$D$5:$D$34,MATCH($A28,Data!$A$5:$A$34,0)))</f>
        <v/>
      </c>
      <c r="M28" s="8" t="n">
        <f aca="false">IF(INDEX(Data!$E$5:$E$34,MATCH($A28,Data!$A$5:$A$34,0))="","",INDEX(Data!$E$5:$E$34,MATCH($A28,Data!$A$5:$A$34,0)))</f>
        <v>87.4</v>
      </c>
      <c r="N28" s="8" t="n">
        <f aca="false">IF(INDEX(Data!$F$5:$F$34,MATCH($A28,Data!$A$5:$A$34,0))="","",INDEX(Data!$F$5:$F$34,MATCH($A28,Data!$A$5:$A$34,0)))</f>
        <v>1.8</v>
      </c>
      <c r="O28" s="8" t="str">
        <f aca="false">IF(INDEX(Data!$G$5:$G$34,MATCH($A28,Data!$A$5:$A$34,0))="","",INDEX(Data!$G$5:$G$34,MATCH($A28,Data!$A$5:$A$34,0)))</f>
        <v/>
      </c>
      <c r="P28" s="8" t="n">
        <f aca="false">IF(INDEX(Data!$H$5:$H$34,MATCH($A28,Data!$A$5:$A$34,0))="","",INDEX(Data!$H$5:$H$34,MATCH($A28,Data!$A$5:$A$34,0)))</f>
        <v>67</v>
      </c>
      <c r="Q28" s="8" t="n">
        <f aca="false">IF(INDEX(Data!$I$5:$I$34,MATCH($A28,Data!$A$5:$A$34,0))="","",INDEX(Data!$I$5:$I$34,MATCH($A28,Data!$A$5:$A$34,0)))</f>
        <v>59</v>
      </c>
      <c r="R28" s="8" t="n">
        <f aca="false">IF(INDEX(Data!$J$5:$J$34,MATCH($A28,Data!$A$5:$A$34,0))="","",INDEX(Data!$J$5:$J$34,MATCH($A28,Data!$A$5:$A$34,0)))</f>
        <v>54</v>
      </c>
      <c r="S28" s="19" t="str">
        <f aca="false">IF(L28="","",IF(L28&lt;=Assumptions!$B$31,Assumptions!$H$31,IF(L28&lt;=Assumptions!$C$31,Assumptions!$H$31+(L28-Assumptions!$B$31)/(Assumptions!$C$31-Assumptions!$B$31)*(Assumptions!$I$31-Assumptions!$H$31),IF(L28&lt;=Assumptions!$D$31,Assumptions!$I$31+(L28-Assumptions!$C$31)/(Assumptions!$D$31-Assumptions!$C$31)*(Assumptions!$J$31-Assumptions!$I$31),IF(L28&lt;=Assumptions!$E$31,Assumptions!$J$31+(L28-Assumptions!$D$31)/(Assumptions!$E$31-Assumptions!$D$31)*(Assumptions!$K$31-Assumptions!$J$31),IF(L28&lt;=Assumptions!$F$31,Assumptions!$K$31+(L28-Assumptions!$E$31)/(Assumptions!$F$31-Assumptions!$E$31)*(Assumptions!$L$31-Assumptions!$K$31),IF(L28&lt;=Assumptions!$G$31,Assumptions!$L$31+(L28-Assumptions!$F$31)/(Assumptions!$G$31-Assumptions!$F$31)*(Assumptions!$M$31-Assumptions!$L$31),Assumptions!$M$31)))))))</f>
        <v/>
      </c>
      <c r="T28" s="19" t="str">
        <f aca="false">IF(K28="","",IF(K28&lt;=Assumptions!$B$32,Assumptions!$H$32,IF(K28&lt;=Assumptions!$C$32,Assumptions!$H$32+(K28-Assumptions!$B$32)/(Assumptions!$C$32-Assumptions!$B$32)*(Assumptions!$I$32-Assumptions!$H$32),IF(K28&lt;=Assumptions!$D$32,Assumptions!$I$32+(K28-Assumptions!$C$32)/(Assumptions!$D$32-Assumptions!$C$32)*(Assumptions!$J$32-Assumptions!$I$32),IF(K28&lt;=Assumptions!$E$32,Assumptions!$J$32+(K28-Assumptions!$D$32)/(Assumptions!$E$32-Assumptions!$D$32)*(Assumptions!$K$32-Assumptions!$J$32),IF(K28&lt;=Assumptions!$F$32,Assumptions!$K$32+(K28-Assumptions!$E$32)/(Assumptions!$F$32-Assumptions!$E$32)*(Assumptions!$L$32-Assumptions!$K$32),IF(K28&lt;=Assumptions!$G$32,Assumptions!$L$32+(K28-Assumptions!$F$32)/(Assumptions!$G$32-Assumptions!$F$32)*(Assumptions!$M$32-Assumptions!$L$32),Assumptions!$M$32)))))))</f>
        <v/>
      </c>
      <c r="U28" s="19" t="n">
        <f aca="false">IF(M28&lt;=Assumptions!$B$33,Assumptions!$H$33,IF(M28&lt;=Assumptions!$C$33,Assumptions!$H$33+(M28-Assumptions!$B$33)/(Assumptions!$C$33-Assumptions!$B$33)*(Assumptions!$I$33-Assumptions!$H$33),IF(M28&lt;=Assumptions!$D$33,Assumptions!$I$33+(M28-Assumptions!$C$33)/(Assumptions!$D$33-Assumptions!$C$33)*(Assumptions!$J$33-Assumptions!$I$33),IF(M28&lt;=Assumptions!$E$33,Assumptions!$J$33+(M28-Assumptions!$D$33)/(Assumptions!$E$33-Assumptions!$D$33)*(Assumptions!$K$33-Assumptions!$J$33),IF(M28&lt;=Assumptions!$F$33,Assumptions!$K$33+(M28-Assumptions!$E$33)/(Assumptions!$F$33-Assumptions!$E$33)*(Assumptions!$L$33-Assumptions!$K$33),IF(M28&lt;=Assumptions!$G$33,Assumptions!$L$33+(M28-Assumptions!$F$33)/(Assumptions!$G$33-Assumptions!$F$33)*(Assumptions!$M$33-Assumptions!$L$33),Assumptions!$M$33))))))</f>
        <v>38</v>
      </c>
      <c r="V28" s="19" t="n">
        <f aca="false">IF(N28&lt;=Assumptions!$B$34,Assumptions!$H$34,IF(N28&lt;=Assumptions!$C$34,Assumptions!$H$34+(N28-Assumptions!$B$34)/(Assumptions!$C$34-Assumptions!$B$34)*(Assumptions!$I$34-Assumptions!$H$34),IF(N28&lt;=Assumptions!$D$34,Assumptions!$I$34+(N28-Assumptions!$C$34)/(Assumptions!$D$34-Assumptions!$C$34)*(Assumptions!$J$34-Assumptions!$I$34),IF(N28&lt;=Assumptions!$E$34,Assumptions!$J$34+(N28-Assumptions!$D$34)/(Assumptions!$E$34-Assumptions!$D$34)*(Assumptions!$K$34-Assumptions!$J$34),IF(N28&lt;=Assumptions!$F$34,Assumptions!$K$34+(N28-Assumptions!$E$34)/(Assumptions!$F$34-Assumptions!$E$34)*(Assumptions!$L$34-Assumptions!$K$34),IF(N28&lt;=Assumptions!$G$34,Assumptions!$L$34+(N28-Assumptions!$F$34)/(Assumptions!$G$34-Assumptions!$F$34)*(Assumptions!$M$34-Assumptions!$L$34),Assumptions!$M$34))))))</f>
        <v>2</v>
      </c>
      <c r="W28" s="19" t="n">
        <f aca="false">IF(S28="",PERCENTILE($S$6:$S$30,Assumptions!$B$36),S28)</f>
        <v>44.6666666666667</v>
      </c>
      <c r="X28" s="19" t="n">
        <f aca="false">IF(T28="",PERCENTILE($T$6:$T$30,Assumptions!$B$36),T28)</f>
        <v>28.65</v>
      </c>
      <c r="Y28" s="19" t="n">
        <f aca="false">IF(O28="",PERCENTILE($O$6:$O$30,Assumptions!$B$36),O28)</f>
        <v>55.5</v>
      </c>
      <c r="Z28" s="19" t="n">
        <f aca="false">W28*Assumptions!$B$16+X28*Assumptions!$B$17</f>
        <v>36.6583333333333</v>
      </c>
      <c r="AA28" s="19" t="n">
        <f aca="false">U28*Assumptions!$B$18+V28*Assumptions!$B$19</f>
        <v>20</v>
      </c>
      <c r="AB28" s="19" t="n">
        <f aca="false">AVERAGE(P28:R28)</f>
        <v>60</v>
      </c>
      <c r="AC28" s="16" t="n">
        <v>0</v>
      </c>
      <c r="AD28" s="20" t="n">
        <f aca="false">MIN(100,Z28*Assumptions!$B$11+AA28*Assumptions!$B$12+Y28*Assumptions!$B$13+AB28*Assumptions!$B$14+AC28*Assumptions!$B$20)</f>
        <v>40.3225</v>
      </c>
      <c r="AE28" s="21" t="n">
        <f aca="false">MIN(1,SUMIFS(Network!$V$31:$V$36,Network!$D$31:$D$36,$A28,Network!$U$31:$U$36,1))</f>
        <v>1</v>
      </c>
      <c r="AF28" s="21" t="n">
        <f aca="false">MIN(1,SUMIFS(Network!$W$31:$W$36,Network!$D$31:$D$36,$A28,Network!$U$31:$U$36,1))</f>
        <v>1</v>
      </c>
      <c r="AG28" s="21" t="n">
        <f aca="false">MIN(1,SUMIFS(Network!$X$31:$X$36,Network!$D$31:$D$36,$A28,Network!$U$31:$U$36,1))</f>
        <v>1</v>
      </c>
      <c r="AH28" s="22" t="n">
        <f aca="false">AE28*Assumptions!$B$5+AF28*Assumptions!$B$6+AG28*Assumptions!$B$7</f>
        <v>1560</v>
      </c>
      <c r="AI28" s="23" t="n">
        <f aca="false">AH28/Assumptions!$B$8</f>
        <v>1</v>
      </c>
      <c r="AJ28" s="24" t="n">
        <f aca="false">AH28/52</f>
        <v>30</v>
      </c>
      <c r="AK28" s="22" t="n">
        <f aca="false">AJ28*I28</f>
        <v>240</v>
      </c>
      <c r="AL28" s="19" t="n">
        <f aca="false">MIN(100,I28/Assumptions!$B$26*100)</f>
        <v>22.2222222222222</v>
      </c>
      <c r="AM28" s="19" t="n">
        <f aca="false">MIN(100,H28/Assumptions!$B$27*100)</f>
        <v>100</v>
      </c>
      <c r="AN28" s="20" t="n">
        <f aca="false">AI28*100*Assumptions!$B$23+AL28*Assumptions!$B$24+AM28*Assumptions!$B$25</f>
        <v>76.6666666666667</v>
      </c>
      <c r="AO28" s="25" t="n">
        <f aca="false">AN28*AD28/100</f>
        <v>30.9139166666667</v>
      </c>
      <c r="AP28" s="6" t="n">
        <f aca="false">RANK(AO28,$AO$6:$AO$30)+COUNTIF($AO$6:AO28,AO28)-1</f>
        <v>8</v>
      </c>
      <c r="AQ28" s="6" t="str">
        <f aca="false">IF(AO28&gt;=Assumptions!$B$39,"Critical",IF(AO28&gt;=Assumptions!$B$40,"High",IF(AO28&gt;=Assumptions!$B$41,"Elevated","Watch")))</f>
        <v>High</v>
      </c>
      <c r="AR28" s="6" t="str">
        <f aca="false">IF(AND(AN28&gt;=Assumptions!$B$42,AD28&gt;=Assumptions!$B$43),"Act now",IF(AN28&gt;=Assumptions!$B$42,"Protect (structural)",IF(AD28&gt;=Assumptions!$B$43,"Remediate supplier","Routine")))</f>
        <v>Protect (structural)</v>
      </c>
      <c r="AS28" s="6" t="n">
        <f aca="false">_xlfn.MAXIFS(Network!$T$5:$T$36,Network!$D$5:$D$36,$A28)</f>
        <v>2</v>
      </c>
      <c r="AT28" s="6" t="n">
        <f aca="false">COUNT(K28:R28)</f>
        <v>5</v>
      </c>
      <c r="AU28" s="6" t="n">
        <f aca="false">IF(AT28&gt;=8,2,IF(AT28&gt;=6,1,0))</f>
        <v>0</v>
      </c>
      <c r="AV28" s="6" t="n">
        <f aca="false">IF(OR(C28=1,LEFT(G28,9)="Confirmed"),1,0)</f>
        <v>0</v>
      </c>
      <c r="AW28" s="6" t="n">
        <f aca="false">AS28+AU28+AV28</f>
        <v>2</v>
      </c>
      <c r="AX28" s="26" t="str">
        <f aca="false">IF(AW28&gt;=Assumptions!$B$44,"High",IF(AW28&gt;=Assumptions!$B$45,"Medium","Low"))</f>
        <v>Low</v>
      </c>
      <c r="AY28" s="14" t="str">
        <f aca="false">IF(OR(AQ28="Critical",AQ28="High"),IF(AX28="Low","VERIFY first – urgent sub-tier fact-find",IF(OR(AQ28="Critical",AV28=1),"ACT – mitigate now","CONFIRM sole-source status, then qualify alternate")),IF(AQ28="Elevated",IF(AX28="Low","VERIFY – add to N-tier survey","PLAN – qualify alternate in 90 days"),"MONITOR – quarterly review"))</f>
        <v>VERIFY first – urgent sub-tier fact-find</v>
      </c>
      <c r="AZ28" s="14" t="str">
        <f aca="false">IF(K28&amp;L28&amp;O28&lt;&gt;"",IF(OR(K28="",L28="",O28=""),TRIM(IF(K28="","Current ratio; ","")&amp;IF(L28="","Net debt/EBITDA; ","")&amp;IF(O28="","Assurance gap","")),"—"),"Current ratio; Net debt/EBITDA; Assurance gap")</f>
        <v>Current ratio; Net debt/EBITDA; Assurance gap</v>
      </c>
    </row>
    <row r="29" customFormat="false" ht="35.05" hidden="false" customHeight="false" outlineLevel="0" collapsed="false">
      <c r="A29" s="6" t="s">
        <v>166</v>
      </c>
      <c r="B29" s="7" t="str">
        <f aca="false">INDEX(Data!$B$5:$B$34,MATCH($A29,Data!$A$5:$A$34,0))</f>
        <v>Xenon Resin Ltd.</v>
      </c>
      <c r="C29" s="6" t="n">
        <v>3</v>
      </c>
      <c r="D29" s="14" t="s">
        <v>167</v>
      </c>
      <c r="E29" s="7" t="str">
        <f aca="false">INDEX(Data!$G$38:$G$67,MATCH($A29,Data!$A$38:$A$67,0))</f>
        <v>SITE-179</v>
      </c>
      <c r="F29" s="7" t="str">
        <f aca="false">INDEX(Data!$I$38:$I$67,MATCH($A29,Data!$A$38:$A$67,0))</f>
        <v>Z04</v>
      </c>
      <c r="G29" s="15" t="s">
        <v>131</v>
      </c>
      <c r="H29" s="16" t="n">
        <v>3</v>
      </c>
      <c r="I29" s="17" t="n">
        <v>8</v>
      </c>
      <c r="J29" s="14" t="s">
        <v>163</v>
      </c>
      <c r="K29" s="18" t="str">
        <f aca="false">IF(INDEX(Data!$C$5:$C$34,MATCH($A29,Data!$A$5:$A$34,0))="","",INDEX(Data!$C$5:$C$34,MATCH($A29,Data!$A$5:$A$34,0)))</f>
        <v/>
      </c>
      <c r="L29" s="18" t="str">
        <f aca="false">IF(INDEX(Data!$D$5:$D$34,MATCH($A29,Data!$A$5:$A$34,0))="","",INDEX(Data!$D$5:$D$34,MATCH($A29,Data!$A$5:$A$34,0)))</f>
        <v/>
      </c>
      <c r="M29" s="8" t="n">
        <f aca="false">IF(INDEX(Data!$E$5:$E$34,MATCH($A29,Data!$A$5:$A$34,0))="","",INDEX(Data!$E$5:$E$34,MATCH($A29,Data!$A$5:$A$34,0)))</f>
        <v>87.3</v>
      </c>
      <c r="N29" s="8" t="n">
        <f aca="false">IF(INDEX(Data!$F$5:$F$34,MATCH($A29,Data!$A$5:$A$34,0))="","",INDEX(Data!$F$5:$F$34,MATCH($A29,Data!$A$5:$A$34,0)))</f>
        <v>1.8</v>
      </c>
      <c r="O29" s="8" t="str">
        <f aca="false">IF(INDEX(Data!$G$5:$G$34,MATCH($A29,Data!$A$5:$A$34,0))="","",INDEX(Data!$G$5:$G$34,MATCH($A29,Data!$A$5:$A$34,0)))</f>
        <v/>
      </c>
      <c r="P29" s="8" t="n">
        <f aca="false">IF(INDEX(Data!$H$5:$H$34,MATCH($A29,Data!$A$5:$A$34,0))="","",INDEX(Data!$H$5:$H$34,MATCH($A29,Data!$A$5:$A$34,0)))</f>
        <v>58</v>
      </c>
      <c r="Q29" s="8" t="n">
        <f aca="false">IF(INDEX(Data!$I$5:$I$34,MATCH($A29,Data!$A$5:$A$34,0))="","",INDEX(Data!$I$5:$I$34,MATCH($A29,Data!$A$5:$A$34,0)))</f>
        <v>62</v>
      </c>
      <c r="R29" s="8" t="n">
        <f aca="false">IF(INDEX(Data!$J$5:$J$34,MATCH($A29,Data!$A$5:$A$34,0))="","",INDEX(Data!$J$5:$J$34,MATCH($A29,Data!$A$5:$A$34,0)))</f>
        <v>52</v>
      </c>
      <c r="S29" s="19" t="str">
        <f aca="false">IF(L29="","",IF(L29&lt;=Assumptions!$B$31,Assumptions!$H$31,IF(L29&lt;=Assumptions!$C$31,Assumptions!$H$31+(L29-Assumptions!$B$31)/(Assumptions!$C$31-Assumptions!$B$31)*(Assumptions!$I$31-Assumptions!$H$31),IF(L29&lt;=Assumptions!$D$31,Assumptions!$I$31+(L29-Assumptions!$C$31)/(Assumptions!$D$31-Assumptions!$C$31)*(Assumptions!$J$31-Assumptions!$I$31),IF(L29&lt;=Assumptions!$E$31,Assumptions!$J$31+(L29-Assumptions!$D$31)/(Assumptions!$E$31-Assumptions!$D$31)*(Assumptions!$K$31-Assumptions!$J$31),IF(L29&lt;=Assumptions!$F$31,Assumptions!$K$31+(L29-Assumptions!$E$31)/(Assumptions!$F$31-Assumptions!$E$31)*(Assumptions!$L$31-Assumptions!$K$31),IF(L29&lt;=Assumptions!$G$31,Assumptions!$L$31+(L29-Assumptions!$F$31)/(Assumptions!$G$31-Assumptions!$F$31)*(Assumptions!$M$31-Assumptions!$L$31),Assumptions!$M$31)))))))</f>
        <v/>
      </c>
      <c r="T29" s="19" t="str">
        <f aca="false">IF(K29="","",IF(K29&lt;=Assumptions!$B$32,Assumptions!$H$32,IF(K29&lt;=Assumptions!$C$32,Assumptions!$H$32+(K29-Assumptions!$B$32)/(Assumptions!$C$32-Assumptions!$B$32)*(Assumptions!$I$32-Assumptions!$H$32),IF(K29&lt;=Assumptions!$D$32,Assumptions!$I$32+(K29-Assumptions!$C$32)/(Assumptions!$D$32-Assumptions!$C$32)*(Assumptions!$J$32-Assumptions!$I$32),IF(K29&lt;=Assumptions!$E$32,Assumptions!$J$32+(K29-Assumptions!$D$32)/(Assumptions!$E$32-Assumptions!$D$32)*(Assumptions!$K$32-Assumptions!$J$32),IF(K29&lt;=Assumptions!$F$32,Assumptions!$K$32+(K29-Assumptions!$E$32)/(Assumptions!$F$32-Assumptions!$E$32)*(Assumptions!$L$32-Assumptions!$K$32),IF(K29&lt;=Assumptions!$G$32,Assumptions!$L$32+(K29-Assumptions!$F$32)/(Assumptions!$G$32-Assumptions!$F$32)*(Assumptions!$M$32-Assumptions!$L$32),Assumptions!$M$32)))))))</f>
        <v/>
      </c>
      <c r="U29" s="19" t="n">
        <f aca="false">IF(M29&lt;=Assumptions!$B$33,Assumptions!$H$33,IF(M29&lt;=Assumptions!$C$33,Assumptions!$H$33+(M29-Assumptions!$B$33)/(Assumptions!$C$33-Assumptions!$B$33)*(Assumptions!$I$33-Assumptions!$H$33),IF(M29&lt;=Assumptions!$D$33,Assumptions!$I$33+(M29-Assumptions!$C$33)/(Assumptions!$D$33-Assumptions!$C$33)*(Assumptions!$J$33-Assumptions!$I$33),IF(M29&lt;=Assumptions!$E$33,Assumptions!$J$33+(M29-Assumptions!$D$33)/(Assumptions!$E$33-Assumptions!$D$33)*(Assumptions!$K$33-Assumptions!$J$33),IF(M29&lt;=Assumptions!$F$33,Assumptions!$K$33+(M29-Assumptions!$E$33)/(Assumptions!$F$33-Assumptions!$E$33)*(Assumptions!$L$33-Assumptions!$K$33),IF(M29&lt;=Assumptions!$G$33,Assumptions!$L$33+(M29-Assumptions!$F$33)/(Assumptions!$G$33-Assumptions!$F$33)*(Assumptions!$M$33-Assumptions!$L$33),Assumptions!$M$33))))))</f>
        <v>38.5</v>
      </c>
      <c r="V29" s="19" t="n">
        <f aca="false">IF(N29&lt;=Assumptions!$B$34,Assumptions!$H$34,IF(N29&lt;=Assumptions!$C$34,Assumptions!$H$34+(N29-Assumptions!$B$34)/(Assumptions!$C$34-Assumptions!$B$34)*(Assumptions!$I$34-Assumptions!$H$34),IF(N29&lt;=Assumptions!$D$34,Assumptions!$I$34+(N29-Assumptions!$C$34)/(Assumptions!$D$34-Assumptions!$C$34)*(Assumptions!$J$34-Assumptions!$I$34),IF(N29&lt;=Assumptions!$E$34,Assumptions!$J$34+(N29-Assumptions!$D$34)/(Assumptions!$E$34-Assumptions!$D$34)*(Assumptions!$K$34-Assumptions!$J$34),IF(N29&lt;=Assumptions!$F$34,Assumptions!$K$34+(N29-Assumptions!$E$34)/(Assumptions!$F$34-Assumptions!$E$34)*(Assumptions!$L$34-Assumptions!$K$34),IF(N29&lt;=Assumptions!$G$34,Assumptions!$L$34+(N29-Assumptions!$F$34)/(Assumptions!$G$34-Assumptions!$F$34)*(Assumptions!$M$34-Assumptions!$L$34),Assumptions!$M$34))))))</f>
        <v>2</v>
      </c>
      <c r="W29" s="19" t="n">
        <f aca="false">IF(S29="",PERCENTILE($S$6:$S$30,Assumptions!$B$36),S29)</f>
        <v>44.6666666666667</v>
      </c>
      <c r="X29" s="19" t="n">
        <f aca="false">IF(T29="",PERCENTILE($T$6:$T$30,Assumptions!$B$36),T29)</f>
        <v>28.65</v>
      </c>
      <c r="Y29" s="19" t="n">
        <f aca="false">IF(O29="",PERCENTILE($O$6:$O$30,Assumptions!$B$36),O29)</f>
        <v>55.5</v>
      </c>
      <c r="Z29" s="19" t="n">
        <f aca="false">W29*Assumptions!$B$16+X29*Assumptions!$B$17</f>
        <v>36.6583333333333</v>
      </c>
      <c r="AA29" s="19" t="n">
        <f aca="false">U29*Assumptions!$B$18+V29*Assumptions!$B$19</f>
        <v>20.25</v>
      </c>
      <c r="AB29" s="19" t="n">
        <f aca="false">AVERAGE(P29:R29)</f>
        <v>57.3333333333333</v>
      </c>
      <c r="AC29" s="16" t="n">
        <v>0</v>
      </c>
      <c r="AD29" s="20" t="n">
        <f aca="false">MIN(100,Z29*Assumptions!$B$11+AA29*Assumptions!$B$12+Y29*Assumptions!$B$13+AB29*Assumptions!$B$14+AC29*Assumptions!$B$20)</f>
        <v>39.7308333333333</v>
      </c>
      <c r="AE29" s="21" t="n">
        <f aca="false">MIN(1,SUMIFS(Network!$V$31:$V$36,Network!$D$31:$D$36,$A29,Network!$U$31:$U$36,1))</f>
        <v>1</v>
      </c>
      <c r="AF29" s="21" t="n">
        <f aca="false">MIN(1,SUMIFS(Network!$W$31:$W$36,Network!$D$31:$D$36,$A29,Network!$U$31:$U$36,1))</f>
        <v>1</v>
      </c>
      <c r="AG29" s="21" t="n">
        <f aca="false">MIN(1,SUMIFS(Network!$X$31:$X$36,Network!$D$31:$D$36,$A29,Network!$U$31:$U$36,1))</f>
        <v>1</v>
      </c>
      <c r="AH29" s="22" t="n">
        <f aca="false">AE29*Assumptions!$B$5+AF29*Assumptions!$B$6+AG29*Assumptions!$B$7</f>
        <v>1560</v>
      </c>
      <c r="AI29" s="23" t="n">
        <f aca="false">AH29/Assumptions!$B$8</f>
        <v>1</v>
      </c>
      <c r="AJ29" s="24" t="n">
        <f aca="false">AH29/52</f>
        <v>30</v>
      </c>
      <c r="AK29" s="22" t="n">
        <f aca="false">AJ29*I29</f>
        <v>240</v>
      </c>
      <c r="AL29" s="19" t="n">
        <f aca="false">MIN(100,I29/Assumptions!$B$26*100)</f>
        <v>22.2222222222222</v>
      </c>
      <c r="AM29" s="19" t="n">
        <f aca="false">MIN(100,H29/Assumptions!$B$27*100)</f>
        <v>100</v>
      </c>
      <c r="AN29" s="20" t="n">
        <f aca="false">AI29*100*Assumptions!$B$23+AL29*Assumptions!$B$24+AM29*Assumptions!$B$25</f>
        <v>76.6666666666667</v>
      </c>
      <c r="AO29" s="25" t="n">
        <f aca="false">AN29*AD29/100</f>
        <v>30.4603055555556</v>
      </c>
      <c r="AP29" s="6" t="n">
        <f aca="false">RANK(AO29,$AO$6:$AO$30)+COUNTIF($AO$6:AO29,AO29)-1</f>
        <v>10</v>
      </c>
      <c r="AQ29" s="6" t="str">
        <f aca="false">IF(AO29&gt;=Assumptions!$B$39,"Critical",IF(AO29&gt;=Assumptions!$B$40,"High",IF(AO29&gt;=Assumptions!$B$41,"Elevated","Watch")))</f>
        <v>High</v>
      </c>
      <c r="AR29" s="6" t="str">
        <f aca="false">IF(AND(AN29&gt;=Assumptions!$B$42,AD29&gt;=Assumptions!$B$43),"Act now",IF(AN29&gt;=Assumptions!$B$42,"Protect (structural)",IF(AD29&gt;=Assumptions!$B$43,"Remediate supplier","Routine")))</f>
        <v>Protect (structural)</v>
      </c>
      <c r="AS29" s="6" t="n">
        <f aca="false">_xlfn.MAXIFS(Network!$T$5:$T$36,Network!$D$5:$D$36,$A29)</f>
        <v>2</v>
      </c>
      <c r="AT29" s="6" t="n">
        <f aca="false">COUNT(K29:R29)</f>
        <v>5</v>
      </c>
      <c r="AU29" s="6" t="n">
        <f aca="false">IF(AT29&gt;=8,2,IF(AT29&gt;=6,1,0))</f>
        <v>0</v>
      </c>
      <c r="AV29" s="6" t="n">
        <f aca="false">IF(OR(C29=1,LEFT(G29,9)="Confirmed"),1,0)</f>
        <v>0</v>
      </c>
      <c r="AW29" s="6" t="n">
        <f aca="false">AS29+AU29+AV29</f>
        <v>2</v>
      </c>
      <c r="AX29" s="26" t="str">
        <f aca="false">IF(AW29&gt;=Assumptions!$B$44,"High",IF(AW29&gt;=Assumptions!$B$45,"Medium","Low"))</f>
        <v>Low</v>
      </c>
      <c r="AY29" s="14" t="str">
        <f aca="false">IF(OR(AQ29="Critical",AQ29="High"),IF(AX29="Low","VERIFY first – urgent sub-tier fact-find",IF(OR(AQ29="Critical",AV29=1),"ACT – mitigate now","CONFIRM sole-source status, then qualify alternate")),IF(AQ29="Elevated",IF(AX29="Low","VERIFY – add to N-tier survey","PLAN – qualify alternate in 90 days"),"MONITOR – quarterly review"))</f>
        <v>VERIFY first – urgent sub-tier fact-find</v>
      </c>
      <c r="AZ29" s="14" t="str">
        <f aca="false">IF(K29&amp;L29&amp;O29&lt;&gt;"",IF(OR(K29="",L29="",O29=""),TRIM(IF(K29="","Current ratio; ","")&amp;IF(L29="","Net debt/EBITDA; ","")&amp;IF(O29="","Assurance gap","")),"—"),"Current ratio; Net debt/EBITDA; Assurance gap")</f>
        <v>Current ratio; Net debt/EBITDA; Assurance gap</v>
      </c>
    </row>
    <row r="30" customFormat="false" ht="35.05" hidden="false" customHeight="false" outlineLevel="0" collapsed="false">
      <c r="A30" s="6" t="s">
        <v>168</v>
      </c>
      <c r="B30" s="7" t="str">
        <f aca="false">INDEX(Data!$B$5:$B$34,MATCH($A30,Data!$A$5:$A$34,0))</f>
        <v>Zenith Polymer Ltd.</v>
      </c>
      <c r="C30" s="6" t="n">
        <v>3</v>
      </c>
      <c r="D30" s="14" t="s">
        <v>169</v>
      </c>
      <c r="E30" s="7" t="str">
        <f aca="false">INDEX(Data!$G$38:$G$67,MATCH($A30,Data!$A$38:$A$67,0))</f>
        <v>SITE-193</v>
      </c>
      <c r="F30" s="7" t="str">
        <f aca="false">INDEX(Data!$I$38:$I$67,MATCH($A30,Data!$A$38:$A$67,0))</f>
        <v>Z03</v>
      </c>
      <c r="G30" s="15" t="s">
        <v>131</v>
      </c>
      <c r="H30" s="16" t="n">
        <v>1</v>
      </c>
      <c r="I30" s="17" t="n">
        <v>12</v>
      </c>
      <c r="J30" s="14" t="s">
        <v>163</v>
      </c>
      <c r="K30" s="18" t="str">
        <f aca="false">IF(INDEX(Data!$C$5:$C$34,MATCH($A30,Data!$A$5:$A$34,0))="","",INDEX(Data!$C$5:$C$34,MATCH($A30,Data!$A$5:$A$34,0)))</f>
        <v/>
      </c>
      <c r="L30" s="18" t="str">
        <f aca="false">IF(INDEX(Data!$D$5:$D$34,MATCH($A30,Data!$A$5:$A$34,0))="","",INDEX(Data!$D$5:$D$34,MATCH($A30,Data!$A$5:$A$34,0)))</f>
        <v/>
      </c>
      <c r="M30" s="8" t="n">
        <f aca="false">IF(INDEX(Data!$E$5:$E$34,MATCH($A30,Data!$A$5:$A$34,0))="","",INDEX(Data!$E$5:$E$34,MATCH($A30,Data!$A$5:$A$34,0)))</f>
        <v>90.9</v>
      </c>
      <c r="N30" s="8" t="n">
        <f aca="false">IF(INDEX(Data!$F$5:$F$34,MATCH($A30,Data!$A$5:$A$34,0))="","",INDEX(Data!$F$5:$F$34,MATCH($A30,Data!$A$5:$A$34,0)))</f>
        <v>-0.9</v>
      </c>
      <c r="O30" s="8" t="str">
        <f aca="false">IF(INDEX(Data!$G$5:$G$34,MATCH($A30,Data!$A$5:$A$34,0))="","",INDEX(Data!$G$5:$G$34,MATCH($A30,Data!$A$5:$A$34,0)))</f>
        <v/>
      </c>
      <c r="P30" s="8" t="n">
        <f aca="false">IF(INDEX(Data!$H$5:$H$34,MATCH($A30,Data!$A$5:$A$34,0))="","",INDEX(Data!$H$5:$H$34,MATCH($A30,Data!$A$5:$A$34,0)))</f>
        <v>19</v>
      </c>
      <c r="Q30" s="8" t="n">
        <f aca="false">IF(INDEX(Data!$I$5:$I$34,MATCH($A30,Data!$A$5:$A$34,0))="","",INDEX(Data!$I$5:$I$34,MATCH($A30,Data!$A$5:$A$34,0)))</f>
        <v>26</v>
      </c>
      <c r="R30" s="8" t="n">
        <f aca="false">IF(INDEX(Data!$J$5:$J$34,MATCH($A30,Data!$A$5:$A$34,0))="","",INDEX(Data!$J$5:$J$34,MATCH($A30,Data!$A$5:$A$34,0)))</f>
        <v>25</v>
      </c>
      <c r="S30" s="19" t="str">
        <f aca="false">IF(L30="","",IF(L30&lt;=Assumptions!$B$31,Assumptions!$H$31,IF(L30&lt;=Assumptions!$C$31,Assumptions!$H$31+(L30-Assumptions!$B$31)/(Assumptions!$C$31-Assumptions!$B$31)*(Assumptions!$I$31-Assumptions!$H$31),IF(L30&lt;=Assumptions!$D$31,Assumptions!$I$31+(L30-Assumptions!$C$31)/(Assumptions!$D$31-Assumptions!$C$31)*(Assumptions!$J$31-Assumptions!$I$31),IF(L30&lt;=Assumptions!$E$31,Assumptions!$J$31+(L30-Assumptions!$D$31)/(Assumptions!$E$31-Assumptions!$D$31)*(Assumptions!$K$31-Assumptions!$J$31),IF(L30&lt;=Assumptions!$F$31,Assumptions!$K$31+(L30-Assumptions!$E$31)/(Assumptions!$F$31-Assumptions!$E$31)*(Assumptions!$L$31-Assumptions!$K$31),IF(L30&lt;=Assumptions!$G$31,Assumptions!$L$31+(L30-Assumptions!$F$31)/(Assumptions!$G$31-Assumptions!$F$31)*(Assumptions!$M$31-Assumptions!$L$31),Assumptions!$M$31)))))))</f>
        <v/>
      </c>
      <c r="T30" s="19" t="str">
        <f aca="false">IF(K30="","",IF(K30&lt;=Assumptions!$B$32,Assumptions!$H$32,IF(K30&lt;=Assumptions!$C$32,Assumptions!$H$32+(K30-Assumptions!$B$32)/(Assumptions!$C$32-Assumptions!$B$32)*(Assumptions!$I$32-Assumptions!$H$32),IF(K30&lt;=Assumptions!$D$32,Assumptions!$I$32+(K30-Assumptions!$C$32)/(Assumptions!$D$32-Assumptions!$C$32)*(Assumptions!$J$32-Assumptions!$I$32),IF(K30&lt;=Assumptions!$E$32,Assumptions!$J$32+(K30-Assumptions!$D$32)/(Assumptions!$E$32-Assumptions!$D$32)*(Assumptions!$K$32-Assumptions!$J$32),IF(K30&lt;=Assumptions!$F$32,Assumptions!$K$32+(K30-Assumptions!$E$32)/(Assumptions!$F$32-Assumptions!$E$32)*(Assumptions!$L$32-Assumptions!$K$32),IF(K30&lt;=Assumptions!$G$32,Assumptions!$L$32+(K30-Assumptions!$F$32)/(Assumptions!$G$32-Assumptions!$F$32)*(Assumptions!$M$32-Assumptions!$L$32),Assumptions!$M$32)))))))</f>
        <v/>
      </c>
      <c r="U30" s="19" t="n">
        <f aca="false">IF(M30&lt;=Assumptions!$B$33,Assumptions!$H$33,IF(M30&lt;=Assumptions!$C$33,Assumptions!$H$33+(M30-Assumptions!$B$33)/(Assumptions!$C$33-Assumptions!$B$33)*(Assumptions!$I$33-Assumptions!$H$33),IF(M30&lt;=Assumptions!$D$33,Assumptions!$I$33+(M30-Assumptions!$C$33)/(Assumptions!$D$33-Assumptions!$C$33)*(Assumptions!$J$33-Assumptions!$I$33),IF(M30&lt;=Assumptions!$E$33,Assumptions!$J$33+(M30-Assumptions!$D$33)/(Assumptions!$E$33-Assumptions!$D$33)*(Assumptions!$K$33-Assumptions!$J$33),IF(M30&lt;=Assumptions!$F$33,Assumptions!$K$33+(M30-Assumptions!$E$33)/(Assumptions!$F$33-Assumptions!$E$33)*(Assumptions!$L$33-Assumptions!$K$33),IF(M30&lt;=Assumptions!$G$33,Assumptions!$L$33+(M30-Assumptions!$F$33)/(Assumptions!$G$33-Assumptions!$F$33)*(Assumptions!$M$33-Assumptions!$L$33),Assumptions!$M$33))))))</f>
        <v>20.5</v>
      </c>
      <c r="V30" s="19" t="n">
        <f aca="false">IF(N30&lt;=Assumptions!$B$34,Assumptions!$H$34,IF(N30&lt;=Assumptions!$C$34,Assumptions!$H$34+(N30-Assumptions!$B$34)/(Assumptions!$C$34-Assumptions!$B$34)*(Assumptions!$I$34-Assumptions!$H$34),IF(N30&lt;=Assumptions!$D$34,Assumptions!$I$34+(N30-Assumptions!$C$34)/(Assumptions!$D$34-Assumptions!$C$34)*(Assumptions!$J$34-Assumptions!$I$34),IF(N30&lt;=Assumptions!$E$34,Assumptions!$J$34+(N30-Assumptions!$D$34)/(Assumptions!$E$34-Assumptions!$D$34)*(Assumptions!$K$34-Assumptions!$J$34),IF(N30&lt;=Assumptions!$F$34,Assumptions!$K$34+(N30-Assumptions!$E$34)/(Assumptions!$F$34-Assumptions!$E$34)*(Assumptions!$L$34-Assumptions!$K$34),IF(N30&lt;=Assumptions!$G$34,Assumptions!$L$34+(N30-Assumptions!$F$34)/(Assumptions!$G$34-Assumptions!$F$34)*(Assumptions!$M$34-Assumptions!$L$34),Assumptions!$M$34))))))</f>
        <v>26.75</v>
      </c>
      <c r="W30" s="19" t="n">
        <f aca="false">IF(S30="",PERCENTILE($S$6:$S$30,Assumptions!$B$36),S30)</f>
        <v>44.6666666666667</v>
      </c>
      <c r="X30" s="19" t="n">
        <f aca="false">IF(T30="",PERCENTILE($T$6:$T$30,Assumptions!$B$36),T30)</f>
        <v>28.65</v>
      </c>
      <c r="Y30" s="19" t="n">
        <f aca="false">IF(O30="",PERCENTILE($O$6:$O$30,Assumptions!$B$36),O30)</f>
        <v>55.5</v>
      </c>
      <c r="Z30" s="19" t="n">
        <f aca="false">W30*Assumptions!$B$16+X30*Assumptions!$B$17</f>
        <v>36.6583333333333</v>
      </c>
      <c r="AA30" s="19" t="n">
        <f aca="false">U30*Assumptions!$B$18+V30*Assumptions!$B$19</f>
        <v>23.625</v>
      </c>
      <c r="AB30" s="19" t="n">
        <f aca="false">AVERAGE(P30:R30)</f>
        <v>23.3333333333333</v>
      </c>
      <c r="AC30" s="16" t="n">
        <v>0</v>
      </c>
      <c r="AD30" s="20" t="n">
        <f aca="false">MIN(100,Z30*Assumptions!$B$11+AA30*Assumptions!$B$12+Y30*Assumptions!$B$13+AB30*Assumptions!$B$14+AC30*Assumptions!$B$20)</f>
        <v>32.2433333333333</v>
      </c>
      <c r="AE30" s="21" t="n">
        <f aca="false">MIN(1,SUMIFS(Network!$V$31:$V$36,Network!$D$31:$D$36,$A30,Network!$U$31:$U$36,1))</f>
        <v>1</v>
      </c>
      <c r="AF30" s="21" t="n">
        <f aca="false">MIN(1,SUMIFS(Network!$W$31:$W$36,Network!$D$31:$D$36,$A30,Network!$U$31:$U$36,1))</f>
        <v>1</v>
      </c>
      <c r="AG30" s="21" t="n">
        <f aca="false">MIN(1,SUMIFS(Network!$X$31:$X$36,Network!$D$31:$D$36,$A30,Network!$U$31:$U$36,1))</f>
        <v>0</v>
      </c>
      <c r="AH30" s="22" t="n">
        <f aca="false">AE30*Assumptions!$B$5+AF30*Assumptions!$B$6+AG30*Assumptions!$B$7</f>
        <v>1144</v>
      </c>
      <c r="AI30" s="23" t="n">
        <f aca="false">AH30/Assumptions!$B$8</f>
        <v>0.733333333333333</v>
      </c>
      <c r="AJ30" s="24" t="n">
        <f aca="false">AH30/52</f>
        <v>22</v>
      </c>
      <c r="AK30" s="22" t="n">
        <f aca="false">AJ30*I30</f>
        <v>264</v>
      </c>
      <c r="AL30" s="19" t="n">
        <f aca="false">MIN(100,I30/Assumptions!$B$26*100)</f>
        <v>33.3333333333333</v>
      </c>
      <c r="AM30" s="19" t="n">
        <f aca="false">MIN(100,H30/Assumptions!$B$27*100)</f>
        <v>33.3333333333333</v>
      </c>
      <c r="AN30" s="20" t="n">
        <f aca="false">AI30*100*Assumptions!$B$23+AL30*Assumptions!$B$24+AM30*Assumptions!$B$25</f>
        <v>53.3333333333333</v>
      </c>
      <c r="AO30" s="25" t="n">
        <f aca="false">AN30*AD30/100</f>
        <v>17.1964444444444</v>
      </c>
      <c r="AP30" s="6" t="n">
        <f aca="false">RANK(AO30,$AO$6:$AO$30)+COUNTIF($AO$6:AO30,AO30)-1</f>
        <v>16</v>
      </c>
      <c r="AQ30" s="6" t="str">
        <f aca="false">IF(AO30&gt;=Assumptions!$B$39,"Critical",IF(AO30&gt;=Assumptions!$B$40,"High",IF(AO30&gt;=Assumptions!$B$41,"Elevated","Watch")))</f>
        <v>Watch</v>
      </c>
      <c r="AR30" s="6" t="str">
        <f aca="false">IF(AND(AN30&gt;=Assumptions!$B$42,AD30&gt;=Assumptions!$B$43),"Act now",IF(AN30&gt;=Assumptions!$B$42,"Protect (structural)",IF(AD30&gt;=Assumptions!$B$43,"Remediate supplier","Routine")))</f>
        <v>Routine</v>
      </c>
      <c r="AS30" s="6" t="n">
        <f aca="false">_xlfn.MAXIFS(Network!$T$5:$T$36,Network!$D$5:$D$36,$A30)</f>
        <v>2</v>
      </c>
      <c r="AT30" s="6" t="n">
        <f aca="false">COUNT(K30:R30)</f>
        <v>5</v>
      </c>
      <c r="AU30" s="6" t="n">
        <f aca="false">IF(AT30&gt;=8,2,IF(AT30&gt;=6,1,0))</f>
        <v>0</v>
      </c>
      <c r="AV30" s="6" t="n">
        <f aca="false">IF(OR(C30=1,LEFT(G30,9)="Confirmed"),1,0)</f>
        <v>0</v>
      </c>
      <c r="AW30" s="6" t="n">
        <f aca="false">AS30+AU30+AV30</f>
        <v>2</v>
      </c>
      <c r="AX30" s="26" t="str">
        <f aca="false">IF(AW30&gt;=Assumptions!$B$44,"High",IF(AW30&gt;=Assumptions!$B$45,"Medium","Low"))</f>
        <v>Low</v>
      </c>
      <c r="AY30" s="14" t="str">
        <f aca="false">IF(OR(AQ30="Critical",AQ30="High"),IF(AX30="Low","VERIFY first – urgent sub-tier fact-find",IF(OR(AQ30="Critical",AV30=1),"ACT – mitigate now","CONFIRM sole-source status, then qualify alternate")),IF(AQ30="Elevated",IF(AX30="Low","VERIFY – add to N-tier survey","PLAN – qualify alternate in 90 days"),"MONITOR – quarterly review"))</f>
        <v>MONITOR – quarterly review</v>
      </c>
      <c r="AZ30" s="14" t="str">
        <f aca="false">IF(K30&amp;L30&amp;O30&lt;&gt;"",IF(OR(K30="",L30="",O30=""),TRIM(IF(K30="","Current ratio; ","")&amp;IF(L30="","Net debt/EBITDA; ","")&amp;IF(O30="","Assurance gap","")),"—"),"Current ratio; Net debt/EBITDA; Assurance gap")</f>
        <v>Current ratio; Net debt/EBITDA; Assurance gap</v>
      </c>
    </row>
    <row r="32" customFormat="false" ht="15" hidden="false" customHeight="false" outlineLevel="0" collapsed="false">
      <c r="A32" s="41" t="s">
        <v>170</v>
      </c>
    </row>
    <row r="33" customFormat="false" ht="27.75" hidden="false" customHeight="true" outlineLevel="0" collapsed="false">
      <c r="A33" s="4" t="s">
        <v>171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customFormat="false" ht="27.75" hidden="false" customHeight="true" outlineLevel="0" collapsed="false">
      <c r="A34" s="4" t="s">
        <v>172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customFormat="false" ht="27.75" hidden="false" customHeight="true" outlineLevel="0" collapsed="false">
      <c r="A35" s="4" t="s">
        <v>173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customFormat="false" ht="27.75" hidden="false" customHeight="true" outlineLevel="0" collapsed="false">
      <c r="A36" s="4" t="s">
        <v>174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customFormat="false" ht="27.75" hidden="false" customHeight="true" outlineLevel="0" collapsed="false">
      <c r="A37" s="4" t="s">
        <v>175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</sheetData>
  <mergeCells count="10">
    <mergeCell ref="A4:J4"/>
    <mergeCell ref="K4:R4"/>
    <mergeCell ref="S4:AD4"/>
    <mergeCell ref="AE4:AR4"/>
    <mergeCell ref="AS4:AZ4"/>
    <mergeCell ref="A33:N33"/>
    <mergeCell ref="A34:N34"/>
    <mergeCell ref="A35:N35"/>
    <mergeCell ref="A36:N36"/>
    <mergeCell ref="A37:N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11"/>
    <col collapsed="false" customWidth="true" hidden="false" outlineLevel="0" max="7" min="7" style="0" width="28"/>
    <col collapsed="false" customWidth="true" hidden="false" outlineLevel="0" max="8" min="8" style="0" width="34"/>
    <col collapsed="false" customWidth="true" hidden="false" outlineLevel="0" max="9" min="9" style="0" width="10"/>
    <col collapsed="false" customWidth="true" hidden="false" outlineLevel="0" max="12" min="10" style="0" width="5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5" min="15" style="0" width="7"/>
    <col collapsed="false" customWidth="true" hidden="false" outlineLevel="0" max="16" min="16" style="0" width="30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20" min="19" style="0" width="7"/>
    <col collapsed="false" customWidth="true" hidden="false" outlineLevel="0" max="21" min="21" style="0" width="9"/>
    <col collapsed="false" customWidth="true" hidden="false" outlineLevel="0" max="24" min="22" style="0" width="8"/>
    <col collapsed="false" customWidth="true" hidden="false" outlineLevel="0" max="25" min="25" style="0" width="46"/>
  </cols>
  <sheetData>
    <row r="1" customFormat="false" ht="17.35" hidden="false" customHeight="false" outlineLevel="0" collapsed="false">
      <c r="A1" s="1" t="s">
        <v>176</v>
      </c>
    </row>
    <row r="2" customFormat="false" ht="15" hidden="false" customHeight="false" outlineLevel="0" collapsed="false">
      <c r="A2" s="12" t="s">
        <v>177</v>
      </c>
    </row>
    <row r="4" customFormat="false" ht="35.05" hidden="false" customHeight="false" outlineLevel="0" collapsed="false">
      <c r="A4" s="5" t="s">
        <v>178</v>
      </c>
      <c r="B4" s="5" t="s">
        <v>179</v>
      </c>
      <c r="C4" s="5" t="s">
        <v>180</v>
      </c>
      <c r="D4" s="5" t="s">
        <v>181</v>
      </c>
      <c r="E4" s="5" t="s">
        <v>6</v>
      </c>
      <c r="F4" s="5" t="s">
        <v>182</v>
      </c>
      <c r="G4" s="5" t="s">
        <v>183</v>
      </c>
      <c r="H4" s="5" t="s">
        <v>184</v>
      </c>
      <c r="I4" s="5" t="s">
        <v>185</v>
      </c>
      <c r="J4" s="5" t="s">
        <v>186</v>
      </c>
      <c r="K4" s="5" t="s">
        <v>187</v>
      </c>
      <c r="L4" s="5" t="s">
        <v>188</v>
      </c>
      <c r="M4" s="5" t="s">
        <v>189</v>
      </c>
      <c r="N4" s="5" t="s">
        <v>190</v>
      </c>
      <c r="O4" s="5" t="s">
        <v>191</v>
      </c>
      <c r="P4" s="5" t="s">
        <v>192</v>
      </c>
      <c r="Q4" s="5" t="s">
        <v>193</v>
      </c>
      <c r="R4" s="5" t="s">
        <v>194</v>
      </c>
      <c r="S4" s="5" t="s">
        <v>195</v>
      </c>
      <c r="T4" s="5" t="s">
        <v>196</v>
      </c>
      <c r="U4" s="5" t="s">
        <v>197</v>
      </c>
      <c r="V4" s="5" t="s">
        <v>198</v>
      </c>
      <c r="W4" s="5" t="s">
        <v>199</v>
      </c>
      <c r="X4" s="5" t="s">
        <v>200</v>
      </c>
      <c r="Y4" s="5" t="s">
        <v>170</v>
      </c>
    </row>
    <row r="5" customFormat="false" ht="15" hidden="false" customHeight="false" outlineLevel="0" collapsed="false">
      <c r="A5" s="6" t="s">
        <v>201</v>
      </c>
      <c r="B5" s="6" t="s">
        <v>202</v>
      </c>
      <c r="C5" s="6" t="n">
        <v>1</v>
      </c>
      <c r="D5" s="6" t="s">
        <v>88</v>
      </c>
      <c r="E5" s="6" t="s">
        <v>203</v>
      </c>
      <c r="F5" s="6" t="s">
        <v>204</v>
      </c>
      <c r="G5" s="6" t="s">
        <v>205</v>
      </c>
      <c r="H5" s="6" t="s">
        <v>206</v>
      </c>
      <c r="I5" s="6" t="s">
        <v>207</v>
      </c>
      <c r="J5" s="6" t="n">
        <v>1</v>
      </c>
      <c r="K5" s="6" t="n">
        <v>0</v>
      </c>
      <c r="L5" s="6" t="n">
        <v>1</v>
      </c>
      <c r="M5" s="42" t="n">
        <v>0.6</v>
      </c>
      <c r="N5" s="6" t="s">
        <v>208</v>
      </c>
      <c r="O5" s="6" t="s">
        <v>209</v>
      </c>
      <c r="P5" s="6" t="s">
        <v>210</v>
      </c>
      <c r="Q5" s="6" t="n">
        <v>3</v>
      </c>
      <c r="R5" s="6" t="s">
        <v>211</v>
      </c>
      <c r="S5" s="6" t="s">
        <v>212</v>
      </c>
      <c r="T5" s="6" t="n">
        <v>3</v>
      </c>
      <c r="U5" s="6" t="n">
        <v>1</v>
      </c>
      <c r="V5" s="21" t="n">
        <f aca="false">$M5*J5</f>
        <v>0.6</v>
      </c>
      <c r="W5" s="21" t="n">
        <f aca="false">$M5*K5</f>
        <v>0</v>
      </c>
      <c r="X5" s="21" t="n">
        <f aca="false">$M5*L5</f>
        <v>0.6</v>
      </c>
      <c r="Y5" s="14" t="s">
        <v>213</v>
      </c>
    </row>
    <row r="6" customFormat="false" ht="15" hidden="false" customHeight="false" outlineLevel="0" collapsed="false">
      <c r="A6" s="6" t="s">
        <v>214</v>
      </c>
      <c r="B6" s="6" t="s">
        <v>202</v>
      </c>
      <c r="C6" s="6" t="n">
        <v>1</v>
      </c>
      <c r="D6" s="6" t="s">
        <v>88</v>
      </c>
      <c r="E6" s="6" t="s">
        <v>203</v>
      </c>
      <c r="F6" s="6" t="s">
        <v>204</v>
      </c>
      <c r="G6" s="6" t="s">
        <v>205</v>
      </c>
      <c r="H6" s="6" t="s">
        <v>215</v>
      </c>
      <c r="I6" s="6" t="s">
        <v>187</v>
      </c>
      <c r="J6" s="6" t="n">
        <v>0</v>
      </c>
      <c r="K6" s="6" t="n">
        <v>1</v>
      </c>
      <c r="L6" s="6" t="n">
        <v>0</v>
      </c>
      <c r="M6" s="42" t="n">
        <v>0.7</v>
      </c>
      <c r="N6" s="6" t="s">
        <v>208</v>
      </c>
      <c r="O6" s="6" t="s">
        <v>209</v>
      </c>
      <c r="P6" s="6" t="s">
        <v>216</v>
      </c>
      <c r="Q6" s="6" t="n">
        <v>2</v>
      </c>
      <c r="R6" s="6" t="s">
        <v>211</v>
      </c>
      <c r="S6" s="6" t="s">
        <v>212</v>
      </c>
      <c r="T6" s="6" t="n">
        <v>3</v>
      </c>
      <c r="U6" s="6" t="n">
        <v>1</v>
      </c>
      <c r="V6" s="21" t="n">
        <f aca="false">$M6*J6</f>
        <v>0</v>
      </c>
      <c r="W6" s="21" t="n">
        <f aca="false">$M6*K6</f>
        <v>0.7</v>
      </c>
      <c r="X6" s="21" t="n">
        <f aca="false">$M6*L6</f>
        <v>0</v>
      </c>
      <c r="Y6" s="14" t="s">
        <v>213</v>
      </c>
    </row>
    <row r="7" customFormat="false" ht="15" hidden="false" customHeight="false" outlineLevel="0" collapsed="false">
      <c r="A7" s="6" t="s">
        <v>217</v>
      </c>
      <c r="B7" s="6" t="s">
        <v>202</v>
      </c>
      <c r="C7" s="6" t="n">
        <v>1</v>
      </c>
      <c r="D7" s="6" t="s">
        <v>92</v>
      </c>
      <c r="E7" s="6" t="s">
        <v>218</v>
      </c>
      <c r="F7" s="6" t="s">
        <v>204</v>
      </c>
      <c r="G7" s="6" t="s">
        <v>205</v>
      </c>
      <c r="H7" s="6" t="s">
        <v>206</v>
      </c>
      <c r="I7" s="6" t="s">
        <v>207</v>
      </c>
      <c r="J7" s="6" t="n">
        <v>1</v>
      </c>
      <c r="K7" s="6" t="n">
        <v>0</v>
      </c>
      <c r="L7" s="6" t="n">
        <v>1</v>
      </c>
      <c r="M7" s="42" t="n">
        <v>0.4</v>
      </c>
      <c r="N7" s="6" t="s">
        <v>219</v>
      </c>
      <c r="O7" s="6" t="s">
        <v>220</v>
      </c>
      <c r="P7" s="6" t="s">
        <v>221</v>
      </c>
      <c r="Q7" s="6" t="n">
        <v>3</v>
      </c>
      <c r="R7" s="6" t="s">
        <v>211</v>
      </c>
      <c r="S7" s="6" t="s">
        <v>212</v>
      </c>
      <c r="T7" s="6" t="n">
        <v>3</v>
      </c>
      <c r="U7" s="6" t="n">
        <v>1</v>
      </c>
      <c r="V7" s="21" t="n">
        <f aca="false">$M7*J7</f>
        <v>0.4</v>
      </c>
      <c r="W7" s="21" t="n">
        <f aca="false">$M7*K7</f>
        <v>0</v>
      </c>
      <c r="X7" s="21" t="n">
        <f aca="false">$M7*L7</f>
        <v>0.4</v>
      </c>
      <c r="Y7" s="14" t="s">
        <v>213</v>
      </c>
    </row>
    <row r="8" customFormat="false" ht="15" hidden="false" customHeight="false" outlineLevel="0" collapsed="false">
      <c r="A8" s="6" t="s">
        <v>222</v>
      </c>
      <c r="B8" s="6" t="s">
        <v>202</v>
      </c>
      <c r="C8" s="6" t="n">
        <v>1</v>
      </c>
      <c r="D8" s="6" t="s">
        <v>92</v>
      </c>
      <c r="E8" s="6" t="s">
        <v>218</v>
      </c>
      <c r="F8" s="6" t="s">
        <v>204</v>
      </c>
      <c r="G8" s="6" t="s">
        <v>205</v>
      </c>
      <c r="H8" s="6" t="s">
        <v>215</v>
      </c>
      <c r="I8" s="6" t="s">
        <v>187</v>
      </c>
      <c r="J8" s="6" t="n">
        <v>0</v>
      </c>
      <c r="K8" s="6" t="n">
        <v>1</v>
      </c>
      <c r="L8" s="6" t="n">
        <v>0</v>
      </c>
      <c r="M8" s="42" t="n">
        <v>0.3</v>
      </c>
      <c r="N8" s="6" t="s">
        <v>219</v>
      </c>
      <c r="O8" s="6" t="s">
        <v>220</v>
      </c>
      <c r="P8" s="6" t="s">
        <v>223</v>
      </c>
      <c r="Q8" s="6" t="n">
        <v>2</v>
      </c>
      <c r="R8" s="6" t="s">
        <v>211</v>
      </c>
      <c r="S8" s="6" t="s">
        <v>212</v>
      </c>
      <c r="T8" s="6" t="n">
        <v>3</v>
      </c>
      <c r="U8" s="6" t="n">
        <v>1</v>
      </c>
      <c r="V8" s="21" t="n">
        <f aca="false">$M8*J8</f>
        <v>0</v>
      </c>
      <c r="W8" s="21" t="n">
        <f aca="false">$M8*K8</f>
        <v>0.3</v>
      </c>
      <c r="X8" s="21" t="n">
        <f aca="false">$M8*L8</f>
        <v>0</v>
      </c>
      <c r="Y8" s="14" t="s">
        <v>213</v>
      </c>
    </row>
    <row r="9" customFormat="false" ht="15" hidden="false" customHeight="false" outlineLevel="0" collapsed="false">
      <c r="A9" s="6" t="s">
        <v>224</v>
      </c>
      <c r="B9" s="6" t="s">
        <v>202</v>
      </c>
      <c r="C9" s="6" t="n">
        <v>1</v>
      </c>
      <c r="D9" s="6" t="s">
        <v>95</v>
      </c>
      <c r="E9" s="6" t="s">
        <v>225</v>
      </c>
      <c r="F9" s="6" t="s">
        <v>204</v>
      </c>
      <c r="G9" s="6" t="s">
        <v>205</v>
      </c>
      <c r="H9" s="6" t="s">
        <v>226</v>
      </c>
      <c r="I9" s="6" t="s">
        <v>227</v>
      </c>
      <c r="J9" s="6" t="n">
        <v>1</v>
      </c>
      <c r="K9" s="6" t="n">
        <v>1</v>
      </c>
      <c r="L9" s="6" t="n">
        <v>1</v>
      </c>
      <c r="M9" s="42" t="n">
        <v>1</v>
      </c>
      <c r="N9" s="6" t="s">
        <v>228</v>
      </c>
      <c r="O9" s="6" t="s">
        <v>229</v>
      </c>
      <c r="P9" s="6" t="s">
        <v>230</v>
      </c>
      <c r="Q9" s="6" t="n">
        <v>3</v>
      </c>
      <c r="R9" s="6" t="s">
        <v>211</v>
      </c>
      <c r="S9" s="6" t="s">
        <v>212</v>
      </c>
      <c r="T9" s="6" t="n">
        <v>3</v>
      </c>
      <c r="U9" s="6" t="n">
        <v>1</v>
      </c>
      <c r="V9" s="21" t="n">
        <f aca="false">$M9*J9</f>
        <v>1</v>
      </c>
      <c r="W9" s="21" t="n">
        <f aca="false">$M9*K9</f>
        <v>1</v>
      </c>
      <c r="X9" s="21" t="n">
        <f aca="false">$M9*L9</f>
        <v>1</v>
      </c>
      <c r="Y9" s="14" t="s">
        <v>231</v>
      </c>
    </row>
    <row r="10" customFormat="false" ht="15" hidden="false" customHeight="false" outlineLevel="0" collapsed="false">
      <c r="A10" s="6" t="s">
        <v>232</v>
      </c>
      <c r="B10" s="6" t="s">
        <v>202</v>
      </c>
      <c r="C10" s="6" t="n">
        <v>1</v>
      </c>
      <c r="D10" s="6" t="s">
        <v>99</v>
      </c>
      <c r="E10" s="6" t="s">
        <v>233</v>
      </c>
      <c r="F10" s="6" t="s">
        <v>204</v>
      </c>
      <c r="G10" s="6" t="s">
        <v>205</v>
      </c>
      <c r="H10" s="6" t="s">
        <v>234</v>
      </c>
      <c r="I10" s="6" t="s">
        <v>235</v>
      </c>
      <c r="J10" s="6" t="n">
        <v>1</v>
      </c>
      <c r="K10" s="6" t="n">
        <v>1</v>
      </c>
      <c r="L10" s="6" t="n">
        <v>0</v>
      </c>
      <c r="M10" s="42" t="n">
        <v>1</v>
      </c>
      <c r="N10" s="6" t="s">
        <v>236</v>
      </c>
      <c r="O10" s="6" t="s">
        <v>237</v>
      </c>
      <c r="P10" s="6" t="s">
        <v>238</v>
      </c>
      <c r="Q10" s="6" t="n">
        <v>3</v>
      </c>
      <c r="R10" s="6" t="s">
        <v>211</v>
      </c>
      <c r="S10" s="6" t="s">
        <v>212</v>
      </c>
      <c r="T10" s="6" t="n">
        <v>3</v>
      </c>
      <c r="U10" s="6" t="n">
        <v>1</v>
      </c>
      <c r="V10" s="21" t="n">
        <f aca="false">$M10*J10</f>
        <v>1</v>
      </c>
      <c r="W10" s="21" t="n">
        <f aca="false">$M10*K10</f>
        <v>1</v>
      </c>
      <c r="X10" s="21" t="n">
        <f aca="false">$M10*L10</f>
        <v>0</v>
      </c>
      <c r="Y10" s="14" t="s">
        <v>231</v>
      </c>
    </row>
    <row r="11" customFormat="false" ht="15" hidden="false" customHeight="false" outlineLevel="0" collapsed="false">
      <c r="A11" s="6" t="s">
        <v>239</v>
      </c>
      <c r="B11" s="6" t="s">
        <v>202</v>
      </c>
      <c r="C11" s="6" t="n">
        <v>1</v>
      </c>
      <c r="D11" s="6" t="s">
        <v>102</v>
      </c>
      <c r="E11" s="6" t="s">
        <v>240</v>
      </c>
      <c r="F11" s="6" t="s">
        <v>204</v>
      </c>
      <c r="G11" s="6" t="s">
        <v>205</v>
      </c>
      <c r="H11" s="6" t="s">
        <v>241</v>
      </c>
      <c r="I11" s="6" t="s">
        <v>242</v>
      </c>
      <c r="J11" s="6" t="n">
        <v>0</v>
      </c>
      <c r="K11" s="6" t="n">
        <v>1</v>
      </c>
      <c r="L11" s="6" t="n">
        <v>1</v>
      </c>
      <c r="M11" s="42" t="n">
        <v>1</v>
      </c>
      <c r="N11" s="6" t="s">
        <v>243</v>
      </c>
      <c r="O11" s="6" t="s">
        <v>244</v>
      </c>
      <c r="P11" s="6" t="s">
        <v>245</v>
      </c>
      <c r="Q11" s="6" t="n">
        <v>2</v>
      </c>
      <c r="R11" s="6" t="s">
        <v>211</v>
      </c>
      <c r="S11" s="6" t="s">
        <v>212</v>
      </c>
      <c r="T11" s="6" t="n">
        <v>3</v>
      </c>
      <c r="U11" s="6" t="n">
        <v>1</v>
      </c>
      <c r="V11" s="21" t="n">
        <f aca="false">$M11*J11</f>
        <v>0</v>
      </c>
      <c r="W11" s="21" t="n">
        <f aca="false">$M11*K11</f>
        <v>1</v>
      </c>
      <c r="X11" s="21" t="n">
        <f aca="false">$M11*L11</f>
        <v>1</v>
      </c>
      <c r="Y11" s="14" t="s">
        <v>231</v>
      </c>
    </row>
    <row r="12" customFormat="false" ht="15" hidden="false" customHeight="false" outlineLevel="0" collapsed="false">
      <c r="A12" s="6" t="s">
        <v>246</v>
      </c>
      <c r="B12" s="6" t="s">
        <v>202</v>
      </c>
      <c r="C12" s="6" t="n">
        <v>1</v>
      </c>
      <c r="D12" s="6" t="s">
        <v>105</v>
      </c>
      <c r="E12" s="6" t="s">
        <v>247</v>
      </c>
      <c r="F12" s="6" t="s">
        <v>204</v>
      </c>
      <c r="G12" s="6" t="s">
        <v>205</v>
      </c>
      <c r="H12" s="6" t="s">
        <v>248</v>
      </c>
      <c r="I12" s="6" t="s">
        <v>186</v>
      </c>
      <c r="J12" s="6" t="n">
        <v>1</v>
      </c>
      <c r="K12" s="6" t="n">
        <v>0</v>
      </c>
      <c r="L12" s="6" t="n">
        <v>0</v>
      </c>
      <c r="M12" s="42" t="n">
        <v>1</v>
      </c>
      <c r="N12" s="6" t="s">
        <v>249</v>
      </c>
      <c r="O12" s="6" t="s">
        <v>209</v>
      </c>
      <c r="P12" s="6" t="s">
        <v>250</v>
      </c>
      <c r="Q12" s="6" t="n">
        <v>2</v>
      </c>
      <c r="R12" s="6" t="s">
        <v>211</v>
      </c>
      <c r="S12" s="6" t="s">
        <v>212</v>
      </c>
      <c r="T12" s="6" t="n">
        <v>3</v>
      </c>
      <c r="U12" s="6" t="n">
        <v>1</v>
      </c>
      <c r="V12" s="21" t="n">
        <f aca="false">$M12*J12</f>
        <v>1</v>
      </c>
      <c r="W12" s="21" t="n">
        <f aca="false">$M12*K12</f>
        <v>0</v>
      </c>
      <c r="X12" s="21" t="n">
        <f aca="false">$M12*L12</f>
        <v>0</v>
      </c>
      <c r="Y12" s="14" t="s">
        <v>231</v>
      </c>
    </row>
    <row r="13" customFormat="false" ht="15" hidden="false" customHeight="false" outlineLevel="0" collapsed="false">
      <c r="A13" s="6" t="s">
        <v>251</v>
      </c>
      <c r="B13" s="6" t="s">
        <v>202</v>
      </c>
      <c r="C13" s="6" t="n">
        <v>1</v>
      </c>
      <c r="D13" s="6" t="s">
        <v>108</v>
      </c>
      <c r="E13" s="6" t="s">
        <v>252</v>
      </c>
      <c r="F13" s="6" t="s">
        <v>204</v>
      </c>
      <c r="G13" s="6" t="s">
        <v>205</v>
      </c>
      <c r="H13" s="6" t="s">
        <v>253</v>
      </c>
      <c r="I13" s="6" t="s">
        <v>188</v>
      </c>
      <c r="J13" s="6" t="n">
        <v>0</v>
      </c>
      <c r="K13" s="6" t="n">
        <v>0</v>
      </c>
      <c r="L13" s="6" t="n">
        <v>1</v>
      </c>
      <c r="M13" s="42" t="n">
        <v>0.8</v>
      </c>
      <c r="N13" s="6" t="s">
        <v>254</v>
      </c>
      <c r="O13" s="6" t="s">
        <v>229</v>
      </c>
      <c r="P13" s="6" t="s">
        <v>255</v>
      </c>
      <c r="Q13" s="6" t="n">
        <v>2</v>
      </c>
      <c r="R13" s="6" t="s">
        <v>211</v>
      </c>
      <c r="S13" s="6" t="s">
        <v>212</v>
      </c>
      <c r="T13" s="6" t="n">
        <v>3</v>
      </c>
      <c r="U13" s="6" t="n">
        <v>1</v>
      </c>
      <c r="V13" s="21" t="n">
        <f aca="false">$M13*J13</f>
        <v>0</v>
      </c>
      <c r="W13" s="21" t="n">
        <f aca="false">$M13*K13</f>
        <v>0</v>
      </c>
      <c r="X13" s="21" t="n">
        <f aca="false">$M13*L13</f>
        <v>0.8</v>
      </c>
      <c r="Y13" s="14" t="s">
        <v>213</v>
      </c>
    </row>
    <row r="14" customFormat="false" ht="15" hidden="false" customHeight="false" outlineLevel="0" collapsed="false">
      <c r="A14" s="6" t="s">
        <v>256</v>
      </c>
      <c r="B14" s="6" t="s">
        <v>202</v>
      </c>
      <c r="C14" s="6" t="n">
        <v>1</v>
      </c>
      <c r="D14" s="6" t="s">
        <v>112</v>
      </c>
      <c r="E14" s="6" t="s">
        <v>257</v>
      </c>
      <c r="F14" s="6" t="s">
        <v>204</v>
      </c>
      <c r="G14" s="6" t="s">
        <v>205</v>
      </c>
      <c r="H14" s="6" t="s">
        <v>253</v>
      </c>
      <c r="I14" s="6" t="s">
        <v>188</v>
      </c>
      <c r="J14" s="6" t="n">
        <v>0</v>
      </c>
      <c r="K14" s="6" t="n">
        <v>0</v>
      </c>
      <c r="L14" s="6" t="n">
        <v>1</v>
      </c>
      <c r="M14" s="42" t="n">
        <v>0.2</v>
      </c>
      <c r="N14" s="6" t="s">
        <v>258</v>
      </c>
      <c r="O14" s="6" t="s">
        <v>220</v>
      </c>
      <c r="P14" s="6" t="s">
        <v>259</v>
      </c>
      <c r="Q14" s="6" t="n">
        <v>2</v>
      </c>
      <c r="R14" s="6" t="s">
        <v>211</v>
      </c>
      <c r="S14" s="6" t="s">
        <v>212</v>
      </c>
      <c r="T14" s="6" t="n">
        <v>3</v>
      </c>
      <c r="U14" s="6" t="n">
        <v>1</v>
      </c>
      <c r="V14" s="21" t="n">
        <f aca="false">$M14*J14</f>
        <v>0</v>
      </c>
      <c r="W14" s="21" t="n">
        <f aca="false">$M14*K14</f>
        <v>0</v>
      </c>
      <c r="X14" s="21" t="n">
        <f aca="false">$M14*L14</f>
        <v>0.2</v>
      </c>
      <c r="Y14" s="14" t="s">
        <v>213</v>
      </c>
    </row>
    <row r="15" customFormat="false" ht="23.85" hidden="false" customHeight="false" outlineLevel="0" collapsed="false">
      <c r="A15" s="6" t="s">
        <v>260</v>
      </c>
      <c r="B15" s="6" t="s">
        <v>261</v>
      </c>
      <c r="C15" s="6" t="n">
        <v>2</v>
      </c>
      <c r="D15" s="6" t="s">
        <v>121</v>
      </c>
      <c r="E15" s="6" t="s">
        <v>262</v>
      </c>
      <c r="F15" s="6" t="s">
        <v>88</v>
      </c>
      <c r="G15" s="6" t="s">
        <v>203</v>
      </c>
      <c r="H15" s="6" t="s">
        <v>263</v>
      </c>
      <c r="I15" s="6" t="s">
        <v>227</v>
      </c>
      <c r="J15" s="6" t="n">
        <v>1</v>
      </c>
      <c r="K15" s="6" t="n">
        <v>1</v>
      </c>
      <c r="L15" s="6" t="n">
        <v>1</v>
      </c>
      <c r="M15" s="6"/>
      <c r="N15" s="6" t="s">
        <v>264</v>
      </c>
      <c r="O15" s="6" t="s">
        <v>265</v>
      </c>
      <c r="P15" s="6" t="s">
        <v>266</v>
      </c>
      <c r="Q15" s="6" t="n">
        <v>3</v>
      </c>
      <c r="R15" s="6" t="s">
        <v>211</v>
      </c>
      <c r="S15" s="6" t="s">
        <v>212</v>
      </c>
      <c r="T15" s="6" t="n">
        <v>3</v>
      </c>
      <c r="U15" s="6" t="n">
        <v>1</v>
      </c>
      <c r="V15" s="43" t="n">
        <f aca="false">INDEX(Scorecard!$AE$6:$AE$13,MATCH($F15,Scorecard!$A$6:$A$13,0))</f>
        <v>0.6</v>
      </c>
      <c r="W15" s="43" t="n">
        <f aca="false">INDEX(Scorecard!$AF$6:$AF$13,MATCH($F15,Scorecard!$A$6:$A$13,0))</f>
        <v>0.7</v>
      </c>
      <c r="X15" s="43" t="n">
        <f aca="false">INDEX(Scorecard!$AG$6:$AG$13,MATCH($F15,Scorecard!$A$6:$A$13,0))</f>
        <v>0.6</v>
      </c>
      <c r="Y15" s="14" t="s">
        <v>267</v>
      </c>
    </row>
    <row r="16" customFormat="false" ht="15" hidden="false" customHeight="false" outlineLevel="0" collapsed="false">
      <c r="A16" s="6" t="s">
        <v>268</v>
      </c>
      <c r="B16" s="6" t="s">
        <v>261</v>
      </c>
      <c r="C16" s="6" t="n">
        <v>2</v>
      </c>
      <c r="D16" s="6" t="s">
        <v>121</v>
      </c>
      <c r="E16" s="6" t="s">
        <v>262</v>
      </c>
      <c r="F16" s="6" t="s">
        <v>92</v>
      </c>
      <c r="G16" s="6" t="s">
        <v>218</v>
      </c>
      <c r="H16" s="6" t="s">
        <v>263</v>
      </c>
      <c r="I16" s="6" t="s">
        <v>227</v>
      </c>
      <c r="J16" s="6" t="n">
        <v>1</v>
      </c>
      <c r="K16" s="6" t="n">
        <v>1</v>
      </c>
      <c r="L16" s="6" t="n">
        <v>1</v>
      </c>
      <c r="M16" s="6"/>
      <c r="N16" s="6" t="s">
        <v>264</v>
      </c>
      <c r="O16" s="6" t="s">
        <v>265</v>
      </c>
      <c r="P16" s="6" t="s">
        <v>269</v>
      </c>
      <c r="Q16" s="6" t="n">
        <v>3</v>
      </c>
      <c r="R16" s="6" t="s">
        <v>211</v>
      </c>
      <c r="S16" s="6" t="s">
        <v>212</v>
      </c>
      <c r="T16" s="6" t="n">
        <v>3</v>
      </c>
      <c r="U16" s="6" t="n">
        <v>1</v>
      </c>
      <c r="V16" s="43" t="n">
        <f aca="false">INDEX(Scorecard!$AE$6:$AE$13,MATCH($F16,Scorecard!$A$6:$A$13,0))</f>
        <v>0.4</v>
      </c>
      <c r="W16" s="43" t="n">
        <f aca="false">INDEX(Scorecard!$AF$6:$AF$13,MATCH($F16,Scorecard!$A$6:$A$13,0))</f>
        <v>0.3</v>
      </c>
      <c r="X16" s="43" t="n">
        <f aca="false">INDEX(Scorecard!$AG$6:$AG$13,MATCH($F16,Scorecard!$A$6:$A$13,0))</f>
        <v>0.4</v>
      </c>
      <c r="Y16" s="14" t="s">
        <v>270</v>
      </c>
    </row>
    <row r="17" customFormat="false" ht="15" hidden="false" customHeight="false" outlineLevel="0" collapsed="false">
      <c r="A17" s="6" t="s">
        <v>271</v>
      </c>
      <c r="B17" s="6" t="s">
        <v>261</v>
      </c>
      <c r="C17" s="6" t="n">
        <v>2</v>
      </c>
      <c r="D17" s="6" t="s">
        <v>133</v>
      </c>
      <c r="E17" s="6" t="s">
        <v>272</v>
      </c>
      <c r="F17" s="6" t="s">
        <v>88</v>
      </c>
      <c r="G17" s="6" t="s">
        <v>203</v>
      </c>
      <c r="H17" s="6" t="s">
        <v>273</v>
      </c>
      <c r="I17" s="6" t="s">
        <v>227</v>
      </c>
      <c r="J17" s="6" t="n">
        <v>1</v>
      </c>
      <c r="K17" s="6" t="n">
        <v>1</v>
      </c>
      <c r="L17" s="6" t="n">
        <v>1</v>
      </c>
      <c r="M17" s="6"/>
      <c r="N17" s="6" t="s">
        <v>274</v>
      </c>
      <c r="O17" s="6" t="s">
        <v>229</v>
      </c>
      <c r="P17" s="6" t="s">
        <v>275</v>
      </c>
      <c r="Q17" s="6" t="n">
        <v>1</v>
      </c>
      <c r="R17" s="6" t="s">
        <v>211</v>
      </c>
      <c r="S17" s="6" t="s">
        <v>276</v>
      </c>
      <c r="T17" s="6" t="n">
        <v>2</v>
      </c>
      <c r="U17" s="6" t="n">
        <v>1</v>
      </c>
      <c r="V17" s="43" t="n">
        <f aca="false">INDEX(Scorecard!$AE$6:$AE$13,MATCH($F17,Scorecard!$A$6:$A$13,0))</f>
        <v>0.6</v>
      </c>
      <c r="W17" s="43" t="n">
        <f aca="false">INDEX(Scorecard!$AF$6:$AF$13,MATCH($F17,Scorecard!$A$6:$A$13,0))</f>
        <v>0.7</v>
      </c>
      <c r="X17" s="43" t="n">
        <f aca="false">INDEX(Scorecard!$AG$6:$AG$13,MATCH($F17,Scorecard!$A$6:$A$13,0))</f>
        <v>0.6</v>
      </c>
      <c r="Y17" s="14" t="s">
        <v>277</v>
      </c>
    </row>
    <row r="18" customFormat="false" ht="15" hidden="false" customHeight="false" outlineLevel="0" collapsed="false">
      <c r="A18" s="6" t="s">
        <v>278</v>
      </c>
      <c r="B18" s="6" t="s">
        <v>261</v>
      </c>
      <c r="C18" s="6" t="n">
        <v>2</v>
      </c>
      <c r="D18" s="6" t="s">
        <v>133</v>
      </c>
      <c r="E18" s="6" t="s">
        <v>272</v>
      </c>
      <c r="F18" s="6" t="s">
        <v>92</v>
      </c>
      <c r="G18" s="6" t="s">
        <v>218</v>
      </c>
      <c r="H18" s="6" t="s">
        <v>273</v>
      </c>
      <c r="I18" s="6" t="s">
        <v>227</v>
      </c>
      <c r="J18" s="6" t="n">
        <v>1</v>
      </c>
      <c r="K18" s="6" t="n">
        <v>1</v>
      </c>
      <c r="L18" s="6" t="n">
        <v>1</v>
      </c>
      <c r="M18" s="6"/>
      <c r="N18" s="6" t="s">
        <v>274</v>
      </c>
      <c r="O18" s="6" t="s">
        <v>229</v>
      </c>
      <c r="P18" s="6" t="s">
        <v>279</v>
      </c>
      <c r="Q18" s="6" t="n">
        <v>1</v>
      </c>
      <c r="R18" s="6" t="s">
        <v>211</v>
      </c>
      <c r="S18" s="6" t="s">
        <v>276</v>
      </c>
      <c r="T18" s="6" t="n">
        <v>2</v>
      </c>
      <c r="U18" s="6" t="n">
        <v>1</v>
      </c>
      <c r="V18" s="43" t="n">
        <f aca="false">INDEX(Scorecard!$AE$6:$AE$13,MATCH($F18,Scorecard!$A$6:$A$13,0))</f>
        <v>0.4</v>
      </c>
      <c r="W18" s="43" t="n">
        <f aca="false">INDEX(Scorecard!$AF$6:$AF$13,MATCH($F18,Scorecard!$A$6:$A$13,0))</f>
        <v>0.3</v>
      </c>
      <c r="X18" s="43" t="n">
        <f aca="false">INDEX(Scorecard!$AG$6:$AG$13,MATCH($F18,Scorecard!$A$6:$A$13,0))</f>
        <v>0.4</v>
      </c>
      <c r="Y18" s="14"/>
    </row>
    <row r="19" customFormat="false" ht="15" hidden="false" customHeight="false" outlineLevel="0" collapsed="false">
      <c r="A19" s="6" t="s">
        <v>280</v>
      </c>
      <c r="B19" s="6" t="s">
        <v>261</v>
      </c>
      <c r="C19" s="6" t="n">
        <v>2</v>
      </c>
      <c r="D19" s="6" t="s">
        <v>136</v>
      </c>
      <c r="E19" s="6" t="s">
        <v>281</v>
      </c>
      <c r="F19" s="6" t="s">
        <v>88</v>
      </c>
      <c r="G19" s="6" t="s">
        <v>203</v>
      </c>
      <c r="H19" s="6" t="s">
        <v>282</v>
      </c>
      <c r="I19" s="6" t="s">
        <v>227</v>
      </c>
      <c r="J19" s="6" t="n">
        <v>1</v>
      </c>
      <c r="K19" s="6" t="n">
        <v>1</v>
      </c>
      <c r="L19" s="6" t="n">
        <v>1</v>
      </c>
      <c r="M19" s="6"/>
      <c r="N19" s="6" t="s">
        <v>283</v>
      </c>
      <c r="O19" s="6" t="s">
        <v>265</v>
      </c>
      <c r="P19" s="6" t="s">
        <v>284</v>
      </c>
      <c r="Q19" s="6" t="n">
        <v>1</v>
      </c>
      <c r="R19" s="6" t="s">
        <v>211</v>
      </c>
      <c r="S19" s="6" t="s">
        <v>276</v>
      </c>
      <c r="T19" s="6" t="n">
        <v>2</v>
      </c>
      <c r="U19" s="6" t="n">
        <v>1</v>
      </c>
      <c r="V19" s="43" t="n">
        <f aca="false">INDEX(Scorecard!$AE$6:$AE$13,MATCH($F19,Scorecard!$A$6:$A$13,0))</f>
        <v>0.6</v>
      </c>
      <c r="W19" s="43" t="n">
        <f aca="false">INDEX(Scorecard!$AF$6:$AF$13,MATCH($F19,Scorecard!$A$6:$A$13,0))</f>
        <v>0.7</v>
      </c>
      <c r="X19" s="43" t="n">
        <f aca="false">INDEX(Scorecard!$AG$6:$AG$13,MATCH($F19,Scorecard!$A$6:$A$13,0))</f>
        <v>0.6</v>
      </c>
      <c r="Y19" s="14" t="s">
        <v>285</v>
      </c>
    </row>
    <row r="20" customFormat="false" ht="15" hidden="false" customHeight="false" outlineLevel="0" collapsed="false">
      <c r="A20" s="6" t="s">
        <v>286</v>
      </c>
      <c r="B20" s="6" t="s">
        <v>261</v>
      </c>
      <c r="C20" s="6" t="n">
        <v>2</v>
      </c>
      <c r="D20" s="6" t="s">
        <v>136</v>
      </c>
      <c r="E20" s="6" t="s">
        <v>281</v>
      </c>
      <c r="F20" s="6" t="s">
        <v>92</v>
      </c>
      <c r="G20" s="6" t="s">
        <v>218</v>
      </c>
      <c r="H20" s="6" t="s">
        <v>282</v>
      </c>
      <c r="I20" s="6" t="s">
        <v>227</v>
      </c>
      <c r="J20" s="6" t="n">
        <v>1</v>
      </c>
      <c r="K20" s="6" t="n">
        <v>1</v>
      </c>
      <c r="L20" s="6" t="n">
        <v>1</v>
      </c>
      <c r="M20" s="6"/>
      <c r="N20" s="6" t="s">
        <v>283</v>
      </c>
      <c r="O20" s="6" t="s">
        <v>265</v>
      </c>
      <c r="P20" s="6" t="s">
        <v>287</v>
      </c>
      <c r="Q20" s="6" t="n">
        <v>1</v>
      </c>
      <c r="R20" s="6" t="s">
        <v>211</v>
      </c>
      <c r="S20" s="6" t="s">
        <v>276</v>
      </c>
      <c r="T20" s="6" t="n">
        <v>2</v>
      </c>
      <c r="U20" s="6" t="n">
        <v>1</v>
      </c>
      <c r="V20" s="43" t="n">
        <f aca="false">INDEX(Scorecard!$AE$6:$AE$13,MATCH($F20,Scorecard!$A$6:$A$13,0))</f>
        <v>0.4</v>
      </c>
      <c r="W20" s="43" t="n">
        <f aca="false">INDEX(Scorecard!$AF$6:$AF$13,MATCH($F20,Scorecard!$A$6:$A$13,0))</f>
        <v>0.3</v>
      </c>
      <c r="X20" s="43" t="n">
        <f aca="false">INDEX(Scorecard!$AG$6:$AG$13,MATCH($F20,Scorecard!$A$6:$A$13,0))</f>
        <v>0.4</v>
      </c>
      <c r="Y20" s="14"/>
    </row>
    <row r="21" customFormat="false" ht="15" hidden="false" customHeight="false" outlineLevel="0" collapsed="false">
      <c r="A21" s="6" t="s">
        <v>288</v>
      </c>
      <c r="B21" s="6" t="s">
        <v>261</v>
      </c>
      <c r="C21" s="6" t="n">
        <v>2</v>
      </c>
      <c r="D21" s="6" t="s">
        <v>125</v>
      </c>
      <c r="E21" s="6" t="s">
        <v>289</v>
      </c>
      <c r="F21" s="6" t="s">
        <v>95</v>
      </c>
      <c r="G21" s="6" t="s">
        <v>225</v>
      </c>
      <c r="H21" s="6" t="s">
        <v>290</v>
      </c>
      <c r="I21" s="6" t="s">
        <v>227</v>
      </c>
      <c r="J21" s="6" t="n">
        <v>1</v>
      </c>
      <c r="K21" s="6" t="n">
        <v>1</v>
      </c>
      <c r="L21" s="6" t="n">
        <v>1</v>
      </c>
      <c r="M21" s="6"/>
      <c r="N21" s="6" t="s">
        <v>291</v>
      </c>
      <c r="O21" s="6" t="s">
        <v>265</v>
      </c>
      <c r="P21" s="6" t="s">
        <v>292</v>
      </c>
      <c r="Q21" s="6" t="n">
        <v>2</v>
      </c>
      <c r="R21" s="6" t="s">
        <v>211</v>
      </c>
      <c r="S21" s="6" t="s">
        <v>212</v>
      </c>
      <c r="T21" s="6" t="n">
        <v>3</v>
      </c>
      <c r="U21" s="6" t="n">
        <v>1</v>
      </c>
      <c r="V21" s="43" t="n">
        <f aca="false">INDEX(Scorecard!$AE$6:$AE$13,MATCH($F21,Scorecard!$A$6:$A$13,0))</f>
        <v>1</v>
      </c>
      <c r="W21" s="43" t="n">
        <f aca="false">INDEX(Scorecard!$AF$6:$AF$13,MATCH($F21,Scorecard!$A$6:$A$13,0))</f>
        <v>1</v>
      </c>
      <c r="X21" s="43" t="n">
        <f aca="false">INDEX(Scorecard!$AG$6:$AG$13,MATCH($F21,Scorecard!$A$6:$A$13,0))</f>
        <v>1</v>
      </c>
      <c r="Y21" s="14" t="s">
        <v>293</v>
      </c>
    </row>
    <row r="22" customFormat="false" ht="15" hidden="false" customHeight="false" outlineLevel="0" collapsed="false">
      <c r="A22" s="6" t="s">
        <v>294</v>
      </c>
      <c r="B22" s="6" t="s">
        <v>261</v>
      </c>
      <c r="C22" s="6" t="n">
        <v>2</v>
      </c>
      <c r="D22" s="6" t="s">
        <v>125</v>
      </c>
      <c r="E22" s="6" t="s">
        <v>289</v>
      </c>
      <c r="F22" s="6" t="s">
        <v>108</v>
      </c>
      <c r="G22" s="6" t="s">
        <v>252</v>
      </c>
      <c r="H22" s="6" t="s">
        <v>295</v>
      </c>
      <c r="I22" s="6" t="s">
        <v>188</v>
      </c>
      <c r="J22" s="6" t="n">
        <v>0</v>
      </c>
      <c r="K22" s="6" t="n">
        <v>0</v>
      </c>
      <c r="L22" s="6" t="n">
        <v>1</v>
      </c>
      <c r="M22" s="6"/>
      <c r="N22" s="6" t="s">
        <v>291</v>
      </c>
      <c r="O22" s="6" t="s">
        <v>265</v>
      </c>
      <c r="P22" s="6" t="s">
        <v>296</v>
      </c>
      <c r="Q22" s="6" t="n">
        <v>2</v>
      </c>
      <c r="R22" s="6" t="s">
        <v>211</v>
      </c>
      <c r="S22" s="6" t="s">
        <v>212</v>
      </c>
      <c r="T22" s="6" t="n">
        <v>3</v>
      </c>
      <c r="U22" s="6" t="n">
        <v>1</v>
      </c>
      <c r="V22" s="43" t="n">
        <f aca="false">INDEX(Scorecard!$AE$6:$AE$13,MATCH($F22,Scorecard!$A$6:$A$13,0))</f>
        <v>0</v>
      </c>
      <c r="W22" s="43" t="n">
        <f aca="false">INDEX(Scorecard!$AF$6:$AF$13,MATCH($F22,Scorecard!$A$6:$A$13,0))</f>
        <v>0</v>
      </c>
      <c r="X22" s="43" t="n">
        <f aca="false">INDEX(Scorecard!$AG$6:$AG$13,MATCH($F22,Scorecard!$A$6:$A$13,0))</f>
        <v>0.8</v>
      </c>
      <c r="Y22" s="14"/>
    </row>
    <row r="23" customFormat="false" ht="15" hidden="false" customHeight="false" outlineLevel="0" collapsed="false">
      <c r="A23" s="6" t="s">
        <v>297</v>
      </c>
      <c r="B23" s="6" t="s">
        <v>261</v>
      </c>
      <c r="C23" s="6" t="n">
        <v>2</v>
      </c>
      <c r="D23" s="6" t="s">
        <v>125</v>
      </c>
      <c r="E23" s="6" t="s">
        <v>289</v>
      </c>
      <c r="F23" s="6" t="s">
        <v>112</v>
      </c>
      <c r="G23" s="6" t="s">
        <v>257</v>
      </c>
      <c r="H23" s="6" t="s">
        <v>295</v>
      </c>
      <c r="I23" s="6" t="s">
        <v>188</v>
      </c>
      <c r="J23" s="6" t="n">
        <v>0</v>
      </c>
      <c r="K23" s="6" t="n">
        <v>0</v>
      </c>
      <c r="L23" s="6" t="n">
        <v>1</v>
      </c>
      <c r="M23" s="6"/>
      <c r="N23" s="6" t="s">
        <v>291</v>
      </c>
      <c r="O23" s="6" t="s">
        <v>265</v>
      </c>
      <c r="P23" s="6" t="s">
        <v>298</v>
      </c>
      <c r="Q23" s="6" t="n">
        <v>2</v>
      </c>
      <c r="R23" s="6" t="s">
        <v>211</v>
      </c>
      <c r="S23" s="6" t="s">
        <v>212</v>
      </c>
      <c r="T23" s="6" t="n">
        <v>3</v>
      </c>
      <c r="U23" s="6" t="n">
        <v>1</v>
      </c>
      <c r="V23" s="43" t="n">
        <f aca="false">INDEX(Scorecard!$AE$6:$AE$13,MATCH($F23,Scorecard!$A$6:$A$13,0))</f>
        <v>0</v>
      </c>
      <c r="W23" s="43" t="n">
        <f aca="false">INDEX(Scorecard!$AF$6:$AF$13,MATCH($F23,Scorecard!$A$6:$A$13,0))</f>
        <v>0</v>
      </c>
      <c r="X23" s="43" t="n">
        <f aca="false">INDEX(Scorecard!$AG$6:$AG$13,MATCH($F23,Scorecard!$A$6:$A$13,0))</f>
        <v>0.2</v>
      </c>
      <c r="Y23" s="14" t="s">
        <v>299</v>
      </c>
    </row>
    <row r="24" customFormat="false" ht="15" hidden="false" customHeight="false" outlineLevel="0" collapsed="false">
      <c r="A24" s="6" t="s">
        <v>300</v>
      </c>
      <c r="B24" s="6" t="s">
        <v>261</v>
      </c>
      <c r="C24" s="6" t="n">
        <v>2</v>
      </c>
      <c r="D24" s="6" t="s">
        <v>129</v>
      </c>
      <c r="E24" s="6" t="s">
        <v>301</v>
      </c>
      <c r="F24" s="6" t="s">
        <v>95</v>
      </c>
      <c r="G24" s="6" t="s">
        <v>225</v>
      </c>
      <c r="H24" s="6" t="s">
        <v>302</v>
      </c>
      <c r="I24" s="6" t="s">
        <v>227</v>
      </c>
      <c r="J24" s="6" t="n">
        <v>1</v>
      </c>
      <c r="K24" s="6" t="n">
        <v>1</v>
      </c>
      <c r="L24" s="6" t="n">
        <v>1</v>
      </c>
      <c r="M24" s="6"/>
      <c r="N24" s="6" t="s">
        <v>303</v>
      </c>
      <c r="O24" s="6" t="s">
        <v>220</v>
      </c>
      <c r="P24" s="6" t="s">
        <v>304</v>
      </c>
      <c r="Q24" s="6" t="n">
        <v>1</v>
      </c>
      <c r="R24" s="6" t="s">
        <v>211</v>
      </c>
      <c r="S24" s="6" t="s">
        <v>276</v>
      </c>
      <c r="T24" s="6" t="n">
        <v>2</v>
      </c>
      <c r="U24" s="6" t="n">
        <v>1</v>
      </c>
      <c r="V24" s="43" t="n">
        <f aca="false">INDEX(Scorecard!$AE$6:$AE$13,MATCH($F24,Scorecard!$A$6:$A$13,0))</f>
        <v>1</v>
      </c>
      <c r="W24" s="43" t="n">
        <f aca="false">INDEX(Scorecard!$AF$6:$AF$13,MATCH($F24,Scorecard!$A$6:$A$13,0))</f>
        <v>1</v>
      </c>
      <c r="X24" s="43" t="n">
        <f aca="false">INDEX(Scorecard!$AG$6:$AG$13,MATCH($F24,Scorecard!$A$6:$A$13,0))</f>
        <v>1</v>
      </c>
      <c r="Y24" s="14" t="s">
        <v>305</v>
      </c>
    </row>
    <row r="25" customFormat="false" ht="15" hidden="false" customHeight="false" outlineLevel="0" collapsed="false">
      <c r="A25" s="6" t="s">
        <v>306</v>
      </c>
      <c r="B25" s="6" t="s">
        <v>261</v>
      </c>
      <c r="C25" s="6" t="n">
        <v>2</v>
      </c>
      <c r="D25" s="6" t="s">
        <v>129</v>
      </c>
      <c r="E25" s="6" t="s">
        <v>301</v>
      </c>
      <c r="F25" s="6" t="s">
        <v>108</v>
      </c>
      <c r="G25" s="6" t="s">
        <v>252</v>
      </c>
      <c r="H25" s="6" t="s">
        <v>307</v>
      </c>
      <c r="I25" s="6" t="s">
        <v>188</v>
      </c>
      <c r="J25" s="6" t="n">
        <v>0</v>
      </c>
      <c r="K25" s="6" t="n">
        <v>0</v>
      </c>
      <c r="L25" s="6" t="n">
        <v>1</v>
      </c>
      <c r="M25" s="6"/>
      <c r="N25" s="6" t="s">
        <v>303</v>
      </c>
      <c r="O25" s="6" t="s">
        <v>220</v>
      </c>
      <c r="P25" s="6" t="s">
        <v>308</v>
      </c>
      <c r="Q25" s="6" t="n">
        <v>1</v>
      </c>
      <c r="R25" s="6" t="s">
        <v>211</v>
      </c>
      <c r="S25" s="6" t="s">
        <v>276</v>
      </c>
      <c r="T25" s="6" t="n">
        <v>2</v>
      </c>
      <c r="U25" s="6" t="n">
        <v>1</v>
      </c>
      <c r="V25" s="43" t="n">
        <f aca="false">INDEX(Scorecard!$AE$6:$AE$13,MATCH($F25,Scorecard!$A$6:$A$13,0))</f>
        <v>0</v>
      </c>
      <c r="W25" s="43" t="n">
        <f aca="false">INDEX(Scorecard!$AF$6:$AF$13,MATCH($F25,Scorecard!$A$6:$A$13,0))</f>
        <v>0</v>
      </c>
      <c r="X25" s="43" t="n">
        <f aca="false">INDEX(Scorecard!$AG$6:$AG$13,MATCH($F25,Scorecard!$A$6:$A$13,0))</f>
        <v>0.8</v>
      </c>
      <c r="Y25" s="14" t="s">
        <v>309</v>
      </c>
    </row>
    <row r="26" customFormat="false" ht="15" hidden="false" customHeight="false" outlineLevel="0" collapsed="false">
      <c r="A26" s="6" t="s">
        <v>310</v>
      </c>
      <c r="B26" s="6" t="s">
        <v>261</v>
      </c>
      <c r="C26" s="6" t="n">
        <v>2</v>
      </c>
      <c r="D26" s="6" t="s">
        <v>139</v>
      </c>
      <c r="E26" s="6" t="s">
        <v>311</v>
      </c>
      <c r="F26" s="6" t="s">
        <v>95</v>
      </c>
      <c r="G26" s="6" t="s">
        <v>225</v>
      </c>
      <c r="H26" s="6" t="s">
        <v>312</v>
      </c>
      <c r="I26" s="6" t="s">
        <v>227</v>
      </c>
      <c r="J26" s="6" t="n">
        <v>1</v>
      </c>
      <c r="K26" s="6" t="n">
        <v>1</v>
      </c>
      <c r="L26" s="6" t="n">
        <v>1</v>
      </c>
      <c r="M26" s="6"/>
      <c r="N26" s="6" t="s">
        <v>313</v>
      </c>
      <c r="O26" s="6" t="s">
        <v>229</v>
      </c>
      <c r="P26" s="6" t="s">
        <v>314</v>
      </c>
      <c r="Q26" s="6" t="n">
        <v>1</v>
      </c>
      <c r="R26" s="6" t="s">
        <v>211</v>
      </c>
      <c r="S26" s="6" t="s">
        <v>276</v>
      </c>
      <c r="T26" s="6" t="n">
        <v>2</v>
      </c>
      <c r="U26" s="6" t="n">
        <v>1</v>
      </c>
      <c r="V26" s="43" t="n">
        <f aca="false">INDEX(Scorecard!$AE$6:$AE$13,MATCH($F26,Scorecard!$A$6:$A$13,0))</f>
        <v>1</v>
      </c>
      <c r="W26" s="43" t="n">
        <f aca="false">INDEX(Scorecard!$AF$6:$AF$13,MATCH($F26,Scorecard!$A$6:$A$13,0))</f>
        <v>1</v>
      </c>
      <c r="X26" s="43" t="n">
        <f aca="false">INDEX(Scorecard!$AG$6:$AG$13,MATCH($F26,Scorecard!$A$6:$A$13,0))</f>
        <v>1</v>
      </c>
      <c r="Y26" s="14"/>
    </row>
    <row r="27" customFormat="false" ht="23.85" hidden="false" customHeight="false" outlineLevel="0" collapsed="false">
      <c r="A27" s="6" t="s">
        <v>315</v>
      </c>
      <c r="B27" s="6" t="s">
        <v>261</v>
      </c>
      <c r="C27" s="6" t="n">
        <v>2</v>
      </c>
      <c r="D27" s="6" t="s">
        <v>142</v>
      </c>
      <c r="E27" s="6" t="s">
        <v>316</v>
      </c>
      <c r="F27" s="6" t="s">
        <v>99</v>
      </c>
      <c r="G27" s="6" t="s">
        <v>233</v>
      </c>
      <c r="H27" s="6" t="s">
        <v>317</v>
      </c>
      <c r="I27" s="6" t="s">
        <v>235</v>
      </c>
      <c r="J27" s="6" t="n">
        <v>1</v>
      </c>
      <c r="K27" s="6" t="n">
        <v>1</v>
      </c>
      <c r="L27" s="6" t="n">
        <v>0</v>
      </c>
      <c r="M27" s="6"/>
      <c r="N27" s="6" t="s">
        <v>318</v>
      </c>
      <c r="O27" s="6" t="s">
        <v>237</v>
      </c>
      <c r="P27" s="6" t="s">
        <v>319</v>
      </c>
      <c r="Q27" s="6" t="n">
        <v>1</v>
      </c>
      <c r="R27" s="6" t="s">
        <v>211</v>
      </c>
      <c r="S27" s="6" t="s">
        <v>276</v>
      </c>
      <c r="T27" s="6" t="n">
        <v>2</v>
      </c>
      <c r="U27" s="6" t="n">
        <v>1</v>
      </c>
      <c r="V27" s="43" t="n">
        <f aca="false">INDEX(Scorecard!$AE$6:$AE$13,MATCH($F27,Scorecard!$A$6:$A$13,0))</f>
        <v>1</v>
      </c>
      <c r="W27" s="43" t="n">
        <f aca="false">INDEX(Scorecard!$AF$6:$AF$13,MATCH($F27,Scorecard!$A$6:$A$13,0))</f>
        <v>1</v>
      </c>
      <c r="X27" s="43" t="n">
        <f aca="false">INDEX(Scorecard!$AG$6:$AG$13,MATCH($F27,Scorecard!$A$6:$A$13,0))</f>
        <v>0</v>
      </c>
      <c r="Y27" s="14" t="s">
        <v>320</v>
      </c>
    </row>
    <row r="28" customFormat="false" ht="15" hidden="false" customHeight="false" outlineLevel="0" collapsed="false">
      <c r="A28" s="6" t="s">
        <v>321</v>
      </c>
      <c r="B28" s="6" t="s">
        <v>261</v>
      </c>
      <c r="C28" s="6" t="n">
        <v>2</v>
      </c>
      <c r="D28" s="6" t="s">
        <v>145</v>
      </c>
      <c r="E28" s="6" t="s">
        <v>322</v>
      </c>
      <c r="F28" s="6" t="s">
        <v>99</v>
      </c>
      <c r="G28" s="6" t="s">
        <v>233</v>
      </c>
      <c r="H28" s="6" t="s">
        <v>323</v>
      </c>
      <c r="I28" s="6" t="s">
        <v>235</v>
      </c>
      <c r="J28" s="6" t="n">
        <v>1</v>
      </c>
      <c r="K28" s="6" t="n">
        <v>1</v>
      </c>
      <c r="L28" s="6" t="n">
        <v>0</v>
      </c>
      <c r="M28" s="6"/>
      <c r="N28" s="6" t="s">
        <v>324</v>
      </c>
      <c r="O28" s="6" t="s">
        <v>244</v>
      </c>
      <c r="P28" s="6" t="s">
        <v>325</v>
      </c>
      <c r="Q28" s="6" t="n">
        <v>1</v>
      </c>
      <c r="R28" s="6" t="s">
        <v>211</v>
      </c>
      <c r="S28" s="6" t="s">
        <v>276</v>
      </c>
      <c r="T28" s="6" t="n">
        <v>2</v>
      </c>
      <c r="U28" s="6" t="n">
        <v>1</v>
      </c>
      <c r="V28" s="43" t="n">
        <f aca="false">INDEX(Scorecard!$AE$6:$AE$13,MATCH($F28,Scorecard!$A$6:$A$13,0))</f>
        <v>1</v>
      </c>
      <c r="W28" s="43" t="n">
        <f aca="false">INDEX(Scorecard!$AF$6:$AF$13,MATCH($F28,Scorecard!$A$6:$A$13,0))</f>
        <v>1</v>
      </c>
      <c r="X28" s="43" t="n">
        <f aca="false">INDEX(Scorecard!$AG$6:$AG$13,MATCH($F28,Scorecard!$A$6:$A$13,0))</f>
        <v>0</v>
      </c>
      <c r="Y28" s="14"/>
    </row>
    <row r="29" customFormat="false" ht="15" hidden="false" customHeight="false" outlineLevel="0" collapsed="false">
      <c r="A29" s="6" t="s">
        <v>326</v>
      </c>
      <c r="B29" s="6" t="s">
        <v>261</v>
      </c>
      <c r="C29" s="6" t="n">
        <v>2</v>
      </c>
      <c r="D29" s="6" t="s">
        <v>148</v>
      </c>
      <c r="E29" s="6" t="s">
        <v>327</v>
      </c>
      <c r="F29" s="6" t="s">
        <v>102</v>
      </c>
      <c r="G29" s="6" t="s">
        <v>240</v>
      </c>
      <c r="H29" s="6" t="s">
        <v>328</v>
      </c>
      <c r="I29" s="6" t="s">
        <v>242</v>
      </c>
      <c r="J29" s="6" t="n">
        <v>0</v>
      </c>
      <c r="K29" s="6" t="n">
        <v>1</v>
      </c>
      <c r="L29" s="6" t="n">
        <v>1</v>
      </c>
      <c r="M29" s="6"/>
      <c r="N29" s="6" t="s">
        <v>329</v>
      </c>
      <c r="O29" s="6" t="s">
        <v>244</v>
      </c>
      <c r="P29" s="6" t="s">
        <v>330</v>
      </c>
      <c r="Q29" s="6" t="n">
        <v>1</v>
      </c>
      <c r="R29" s="6" t="s">
        <v>211</v>
      </c>
      <c r="S29" s="6" t="s">
        <v>276</v>
      </c>
      <c r="T29" s="6" t="n">
        <v>2</v>
      </c>
      <c r="U29" s="6" t="n">
        <v>1</v>
      </c>
      <c r="V29" s="43" t="n">
        <f aca="false">INDEX(Scorecard!$AE$6:$AE$13,MATCH($F29,Scorecard!$A$6:$A$13,0))</f>
        <v>0</v>
      </c>
      <c r="W29" s="43" t="n">
        <f aca="false">INDEX(Scorecard!$AF$6:$AF$13,MATCH($F29,Scorecard!$A$6:$A$13,0))</f>
        <v>1</v>
      </c>
      <c r="X29" s="43" t="n">
        <f aca="false">INDEX(Scorecard!$AG$6:$AG$13,MATCH($F29,Scorecard!$A$6:$A$13,0))</f>
        <v>1</v>
      </c>
      <c r="Y29" s="14"/>
    </row>
    <row r="30" customFormat="false" ht="15" hidden="false" customHeight="false" outlineLevel="0" collapsed="false">
      <c r="A30" s="6" t="s">
        <v>331</v>
      </c>
      <c r="B30" s="6" t="s">
        <v>261</v>
      </c>
      <c r="C30" s="6" t="n">
        <v>2</v>
      </c>
      <c r="D30" s="6" t="s">
        <v>151</v>
      </c>
      <c r="E30" s="6" t="s">
        <v>332</v>
      </c>
      <c r="F30" s="6" t="s">
        <v>105</v>
      </c>
      <c r="G30" s="6" t="s">
        <v>247</v>
      </c>
      <c r="H30" s="6" t="s">
        <v>333</v>
      </c>
      <c r="I30" s="6" t="s">
        <v>186</v>
      </c>
      <c r="J30" s="6" t="n">
        <v>1</v>
      </c>
      <c r="K30" s="6" t="n">
        <v>0</v>
      </c>
      <c r="L30" s="6" t="n">
        <v>0</v>
      </c>
      <c r="M30" s="6"/>
      <c r="N30" s="6" t="s">
        <v>334</v>
      </c>
      <c r="O30" s="6" t="s">
        <v>209</v>
      </c>
      <c r="P30" s="6" t="s">
        <v>335</v>
      </c>
      <c r="Q30" s="6" t="n">
        <v>1</v>
      </c>
      <c r="R30" s="6" t="s">
        <v>211</v>
      </c>
      <c r="S30" s="6" t="s">
        <v>276</v>
      </c>
      <c r="T30" s="6" t="n">
        <v>2</v>
      </c>
      <c r="U30" s="6" t="n">
        <v>1</v>
      </c>
      <c r="V30" s="43" t="n">
        <f aca="false">INDEX(Scorecard!$AE$6:$AE$13,MATCH($F30,Scorecard!$A$6:$A$13,0))</f>
        <v>1</v>
      </c>
      <c r="W30" s="43" t="n">
        <f aca="false">INDEX(Scorecard!$AF$6:$AF$13,MATCH($F30,Scorecard!$A$6:$A$13,0))</f>
        <v>0</v>
      </c>
      <c r="X30" s="43" t="n">
        <f aca="false">INDEX(Scorecard!$AG$6:$AG$13,MATCH($F30,Scorecard!$A$6:$A$13,0))</f>
        <v>0</v>
      </c>
      <c r="Y30" s="14"/>
    </row>
    <row r="31" customFormat="false" ht="23.85" hidden="false" customHeight="false" outlineLevel="0" collapsed="false">
      <c r="A31" s="6" t="s">
        <v>336</v>
      </c>
      <c r="B31" s="6" t="s">
        <v>337</v>
      </c>
      <c r="C31" s="6" t="n">
        <v>3</v>
      </c>
      <c r="D31" s="6" t="s">
        <v>154</v>
      </c>
      <c r="E31" s="6" t="s">
        <v>338</v>
      </c>
      <c r="F31" s="6" t="s">
        <v>121</v>
      </c>
      <c r="G31" s="6" t="s">
        <v>262</v>
      </c>
      <c r="H31" s="6" t="s">
        <v>339</v>
      </c>
      <c r="I31" s="6" t="s">
        <v>227</v>
      </c>
      <c r="J31" s="6" t="n">
        <v>1</v>
      </c>
      <c r="K31" s="6" t="n">
        <v>1</v>
      </c>
      <c r="L31" s="6" t="n">
        <v>1</v>
      </c>
      <c r="M31" s="6"/>
      <c r="N31" s="6" t="s">
        <v>340</v>
      </c>
      <c r="O31" s="6" t="s">
        <v>265</v>
      </c>
      <c r="P31" s="6" t="s">
        <v>341</v>
      </c>
      <c r="Q31" s="6" t="n">
        <v>1</v>
      </c>
      <c r="R31" s="6" t="s">
        <v>211</v>
      </c>
      <c r="S31" s="6" t="s">
        <v>276</v>
      </c>
      <c r="T31" s="6" t="n">
        <v>2</v>
      </c>
      <c r="U31" s="6" t="n">
        <v>1</v>
      </c>
      <c r="V31" s="43" t="n">
        <f aca="false">INDEX(Scorecard!$AE$15:$AE$24,MATCH($F31,Scorecard!$A$15:$A$24,0))</f>
        <v>1</v>
      </c>
      <c r="W31" s="43" t="n">
        <f aca="false">INDEX(Scorecard!$AF$15:$AF$24,MATCH($F31,Scorecard!$A$15:$A$24,0))</f>
        <v>1</v>
      </c>
      <c r="X31" s="43" t="n">
        <f aca="false">INDEX(Scorecard!$AG$15:$AG$24,MATCH($F31,Scorecard!$A$15:$A$24,0))</f>
        <v>1</v>
      </c>
      <c r="Y31" s="14" t="s">
        <v>342</v>
      </c>
    </row>
    <row r="32" customFormat="false" ht="15" hidden="false" customHeight="false" outlineLevel="0" collapsed="false">
      <c r="A32" s="6" t="s">
        <v>343</v>
      </c>
      <c r="B32" s="6" t="s">
        <v>337</v>
      </c>
      <c r="C32" s="6" t="n">
        <v>3</v>
      </c>
      <c r="D32" s="6" t="s">
        <v>157</v>
      </c>
      <c r="E32" s="6" t="s">
        <v>344</v>
      </c>
      <c r="F32" s="6" t="s">
        <v>121</v>
      </c>
      <c r="G32" s="6" t="s">
        <v>262</v>
      </c>
      <c r="H32" s="6" t="s">
        <v>345</v>
      </c>
      <c r="I32" s="6" t="s">
        <v>227</v>
      </c>
      <c r="J32" s="6" t="n">
        <v>1</v>
      </c>
      <c r="K32" s="6" t="n">
        <v>1</v>
      </c>
      <c r="L32" s="6" t="n">
        <v>1</v>
      </c>
      <c r="M32" s="6"/>
      <c r="N32" s="6" t="s">
        <v>346</v>
      </c>
      <c r="O32" s="6" t="s">
        <v>265</v>
      </c>
      <c r="P32" s="6" t="s">
        <v>347</v>
      </c>
      <c r="Q32" s="6" t="n">
        <v>1</v>
      </c>
      <c r="R32" s="6" t="s">
        <v>348</v>
      </c>
      <c r="S32" s="6" t="s">
        <v>349</v>
      </c>
      <c r="T32" s="6" t="n">
        <v>1</v>
      </c>
      <c r="U32" s="6" t="n">
        <v>1</v>
      </c>
      <c r="V32" s="43" t="n">
        <f aca="false">INDEX(Scorecard!$AE$15:$AE$24,MATCH($F32,Scorecard!$A$15:$A$24,0))</f>
        <v>1</v>
      </c>
      <c r="W32" s="43" t="n">
        <f aca="false">INDEX(Scorecard!$AF$15:$AF$24,MATCH($F32,Scorecard!$A$15:$A$24,0))</f>
        <v>1</v>
      </c>
      <c r="X32" s="43" t="n">
        <f aca="false">INDEX(Scorecard!$AG$15:$AG$24,MATCH($F32,Scorecard!$A$15:$A$24,0))</f>
        <v>1</v>
      </c>
      <c r="Y32" s="14" t="s">
        <v>350</v>
      </c>
    </row>
    <row r="33" customFormat="false" ht="15" hidden="false" customHeight="false" outlineLevel="0" collapsed="false">
      <c r="A33" s="6" t="s">
        <v>351</v>
      </c>
      <c r="B33" s="6" t="s">
        <v>337</v>
      </c>
      <c r="C33" s="6" t="n">
        <v>3</v>
      </c>
      <c r="D33" s="6" t="s">
        <v>161</v>
      </c>
      <c r="E33" s="6" t="s">
        <v>352</v>
      </c>
      <c r="F33" s="6" t="s">
        <v>136</v>
      </c>
      <c r="G33" s="6" t="s">
        <v>281</v>
      </c>
      <c r="H33" s="6" t="s">
        <v>353</v>
      </c>
      <c r="I33" s="6" t="s">
        <v>227</v>
      </c>
      <c r="J33" s="6" t="n">
        <v>1</v>
      </c>
      <c r="K33" s="6" t="n">
        <v>1</v>
      </c>
      <c r="L33" s="6" t="n">
        <v>1</v>
      </c>
      <c r="M33" s="6"/>
      <c r="N33" s="6" t="s">
        <v>354</v>
      </c>
      <c r="O33" s="6" t="s">
        <v>355</v>
      </c>
      <c r="P33" s="6" t="s">
        <v>356</v>
      </c>
      <c r="Q33" s="6" t="n">
        <v>1</v>
      </c>
      <c r="R33" s="6" t="s">
        <v>211</v>
      </c>
      <c r="S33" s="6" t="s">
        <v>276</v>
      </c>
      <c r="T33" s="6" t="n">
        <v>2</v>
      </c>
      <c r="U33" s="6" t="n">
        <v>1</v>
      </c>
      <c r="V33" s="43" t="n">
        <f aca="false">INDEX(Scorecard!$AE$15:$AE$24,MATCH($F33,Scorecard!$A$15:$A$24,0))</f>
        <v>1</v>
      </c>
      <c r="W33" s="43" t="n">
        <f aca="false">INDEX(Scorecard!$AF$15:$AF$24,MATCH($F33,Scorecard!$A$15:$A$24,0))</f>
        <v>1</v>
      </c>
      <c r="X33" s="43" t="n">
        <f aca="false">INDEX(Scorecard!$AG$15:$AG$24,MATCH($F33,Scorecard!$A$15:$A$24,0))</f>
        <v>1</v>
      </c>
      <c r="Y33" s="14"/>
    </row>
    <row r="34" customFormat="false" ht="15" hidden="false" customHeight="false" outlineLevel="0" collapsed="false">
      <c r="A34" s="6" t="s">
        <v>357</v>
      </c>
      <c r="B34" s="6" t="s">
        <v>337</v>
      </c>
      <c r="C34" s="6" t="n">
        <v>3</v>
      </c>
      <c r="D34" s="6" t="s">
        <v>164</v>
      </c>
      <c r="E34" s="6" t="s">
        <v>358</v>
      </c>
      <c r="F34" s="6" t="s">
        <v>125</v>
      </c>
      <c r="G34" s="6" t="s">
        <v>289</v>
      </c>
      <c r="H34" s="6" t="s">
        <v>359</v>
      </c>
      <c r="I34" s="6" t="s">
        <v>227</v>
      </c>
      <c r="J34" s="6" t="n">
        <v>1</v>
      </c>
      <c r="K34" s="6" t="n">
        <v>1</v>
      </c>
      <c r="L34" s="6" t="n">
        <v>1</v>
      </c>
      <c r="M34" s="6"/>
      <c r="N34" s="6" t="s">
        <v>360</v>
      </c>
      <c r="O34" s="6" t="s">
        <v>244</v>
      </c>
      <c r="P34" s="6" t="s">
        <v>361</v>
      </c>
      <c r="Q34" s="6" t="n">
        <v>1</v>
      </c>
      <c r="R34" s="6" t="s">
        <v>211</v>
      </c>
      <c r="S34" s="6" t="s">
        <v>276</v>
      </c>
      <c r="T34" s="6" t="n">
        <v>2</v>
      </c>
      <c r="U34" s="6" t="n">
        <v>1</v>
      </c>
      <c r="V34" s="43" t="n">
        <f aca="false">INDEX(Scorecard!$AE$15:$AE$24,MATCH($F34,Scorecard!$A$15:$A$24,0))</f>
        <v>1</v>
      </c>
      <c r="W34" s="43" t="n">
        <f aca="false">INDEX(Scorecard!$AF$15:$AF$24,MATCH($F34,Scorecard!$A$15:$A$24,0))</f>
        <v>1</v>
      </c>
      <c r="X34" s="43" t="n">
        <f aca="false">INDEX(Scorecard!$AG$15:$AG$24,MATCH($F34,Scorecard!$A$15:$A$24,0))</f>
        <v>1</v>
      </c>
      <c r="Y34" s="14"/>
    </row>
    <row r="35" customFormat="false" ht="15" hidden="false" customHeight="false" outlineLevel="0" collapsed="false">
      <c r="A35" s="6" t="s">
        <v>362</v>
      </c>
      <c r="B35" s="6" t="s">
        <v>337</v>
      </c>
      <c r="C35" s="6" t="n">
        <v>3</v>
      </c>
      <c r="D35" s="6" t="s">
        <v>166</v>
      </c>
      <c r="E35" s="6" t="s">
        <v>363</v>
      </c>
      <c r="F35" s="6" t="s">
        <v>125</v>
      </c>
      <c r="G35" s="6" t="s">
        <v>289</v>
      </c>
      <c r="H35" s="6" t="s">
        <v>364</v>
      </c>
      <c r="I35" s="6" t="s">
        <v>227</v>
      </c>
      <c r="J35" s="6" t="n">
        <v>1</v>
      </c>
      <c r="K35" s="6" t="n">
        <v>1</v>
      </c>
      <c r="L35" s="6" t="n">
        <v>1</v>
      </c>
      <c r="M35" s="6"/>
      <c r="N35" s="6" t="s">
        <v>365</v>
      </c>
      <c r="O35" s="6" t="s">
        <v>229</v>
      </c>
      <c r="P35" s="6" t="s">
        <v>366</v>
      </c>
      <c r="Q35" s="6" t="n">
        <v>1</v>
      </c>
      <c r="R35" s="6" t="s">
        <v>211</v>
      </c>
      <c r="S35" s="6" t="s">
        <v>276</v>
      </c>
      <c r="T35" s="6" t="n">
        <v>2</v>
      </c>
      <c r="U35" s="6" t="n">
        <v>1</v>
      </c>
      <c r="V35" s="43" t="n">
        <f aca="false">INDEX(Scorecard!$AE$15:$AE$24,MATCH($F35,Scorecard!$A$15:$A$24,0))</f>
        <v>1</v>
      </c>
      <c r="W35" s="43" t="n">
        <f aca="false">INDEX(Scorecard!$AF$15:$AF$24,MATCH($F35,Scorecard!$A$15:$A$24,0))</f>
        <v>1</v>
      </c>
      <c r="X35" s="43" t="n">
        <f aca="false">INDEX(Scorecard!$AG$15:$AG$24,MATCH($F35,Scorecard!$A$15:$A$24,0))</f>
        <v>1</v>
      </c>
      <c r="Y35" s="14"/>
    </row>
    <row r="36" customFormat="false" ht="15" hidden="false" customHeight="false" outlineLevel="0" collapsed="false">
      <c r="A36" s="6" t="s">
        <v>367</v>
      </c>
      <c r="B36" s="6" t="s">
        <v>337</v>
      </c>
      <c r="C36" s="6" t="n">
        <v>3</v>
      </c>
      <c r="D36" s="6" t="s">
        <v>168</v>
      </c>
      <c r="E36" s="6" t="s">
        <v>368</v>
      </c>
      <c r="F36" s="6" t="s">
        <v>142</v>
      </c>
      <c r="G36" s="6" t="s">
        <v>316</v>
      </c>
      <c r="H36" s="6" t="s">
        <v>369</v>
      </c>
      <c r="I36" s="6" t="s">
        <v>235</v>
      </c>
      <c r="J36" s="6" t="n">
        <v>1</v>
      </c>
      <c r="K36" s="6" t="n">
        <v>1</v>
      </c>
      <c r="L36" s="6" t="n">
        <v>0</v>
      </c>
      <c r="M36" s="6"/>
      <c r="N36" s="6" t="s">
        <v>370</v>
      </c>
      <c r="O36" s="6" t="s">
        <v>237</v>
      </c>
      <c r="P36" s="6" t="s">
        <v>371</v>
      </c>
      <c r="Q36" s="6" t="n">
        <v>1</v>
      </c>
      <c r="R36" s="6" t="s">
        <v>211</v>
      </c>
      <c r="S36" s="6" t="s">
        <v>276</v>
      </c>
      <c r="T36" s="6" t="n">
        <v>2</v>
      </c>
      <c r="U36" s="6" t="n">
        <v>1</v>
      </c>
      <c r="V36" s="43" t="n">
        <f aca="false">INDEX(Scorecard!$AE$15:$AE$24,MATCH($F36,Scorecard!$A$15:$A$24,0))</f>
        <v>1</v>
      </c>
      <c r="W36" s="43" t="n">
        <f aca="false">INDEX(Scorecard!$AF$15:$AF$24,MATCH($F36,Scorecard!$A$15:$A$24,0))</f>
        <v>1</v>
      </c>
      <c r="X36" s="43" t="n">
        <f aca="false">INDEX(Scorecard!$AG$15:$AG$24,MATCH($F36,Scorecard!$A$15:$A$24,0))</f>
        <v>0</v>
      </c>
      <c r="Y36" s="14" t="s">
        <v>372</v>
      </c>
    </row>
    <row r="37" customFormat="false" ht="15" hidden="false" customHeight="false" outlineLevel="0" collapsed="false">
      <c r="A37" s="6" t="s">
        <v>373</v>
      </c>
      <c r="B37" s="6" t="s">
        <v>374</v>
      </c>
      <c r="C37" s="6" t="s">
        <v>375</v>
      </c>
      <c r="D37" s="6" t="s">
        <v>376</v>
      </c>
      <c r="E37" s="6" t="s">
        <v>377</v>
      </c>
      <c r="F37" s="6" t="s">
        <v>108</v>
      </c>
      <c r="G37" s="6" t="s">
        <v>252</v>
      </c>
      <c r="H37" s="6" t="s">
        <v>378</v>
      </c>
      <c r="I37" s="6" t="s">
        <v>253</v>
      </c>
      <c r="J37" s="6" t="n">
        <v>0</v>
      </c>
      <c r="K37" s="6" t="n">
        <v>0</v>
      </c>
      <c r="L37" s="6" t="n">
        <v>0</v>
      </c>
      <c r="M37" s="6"/>
      <c r="N37" s="6" t="s">
        <v>379</v>
      </c>
      <c r="O37" s="6" t="s">
        <v>355</v>
      </c>
      <c r="P37" s="6" t="s">
        <v>380</v>
      </c>
      <c r="Q37" s="6" t="n">
        <v>1</v>
      </c>
      <c r="R37" s="6" t="s">
        <v>374</v>
      </c>
      <c r="S37" s="6" t="s">
        <v>381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14" t="s">
        <v>382</v>
      </c>
    </row>
    <row r="38" customFormat="false" ht="15" hidden="false" customHeight="false" outlineLevel="0" collapsed="false">
      <c r="A38" s="6" t="s">
        <v>383</v>
      </c>
      <c r="B38" s="6" t="s">
        <v>374</v>
      </c>
      <c r="C38" s="6" t="s">
        <v>375</v>
      </c>
      <c r="D38" s="6" t="s">
        <v>384</v>
      </c>
      <c r="E38" s="6" t="s">
        <v>385</v>
      </c>
      <c r="F38" s="6" t="s">
        <v>151</v>
      </c>
      <c r="G38" s="6" t="s">
        <v>332</v>
      </c>
      <c r="H38" s="6" t="s">
        <v>386</v>
      </c>
      <c r="I38" s="6" t="s">
        <v>248</v>
      </c>
      <c r="J38" s="6" t="n">
        <v>0</v>
      </c>
      <c r="K38" s="6" t="n">
        <v>0</v>
      </c>
      <c r="L38" s="6" t="n">
        <v>0</v>
      </c>
      <c r="M38" s="6"/>
      <c r="N38" s="6" t="s">
        <v>375</v>
      </c>
      <c r="O38" s="6" t="s">
        <v>375</v>
      </c>
      <c r="P38" s="6" t="s">
        <v>387</v>
      </c>
      <c r="Q38" s="6" t="n">
        <v>2</v>
      </c>
      <c r="R38" s="6" t="s">
        <v>374</v>
      </c>
      <c r="S38" s="6" t="s">
        <v>381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14" t="s">
        <v>388</v>
      </c>
    </row>
    <row r="39" customFormat="false" ht="15" hidden="false" customHeight="false" outlineLevel="0" collapsed="false">
      <c r="A39" s="6" t="s">
        <v>389</v>
      </c>
      <c r="B39" s="6" t="s">
        <v>390</v>
      </c>
      <c r="C39" s="6" t="s">
        <v>375</v>
      </c>
      <c r="D39" s="6" t="s">
        <v>115</v>
      </c>
      <c r="E39" s="6" t="s">
        <v>391</v>
      </c>
      <c r="F39" s="6" t="s">
        <v>88</v>
      </c>
      <c r="G39" s="6" t="s">
        <v>203</v>
      </c>
      <c r="H39" s="6" t="s">
        <v>392</v>
      </c>
      <c r="I39" s="6" t="s">
        <v>393</v>
      </c>
      <c r="J39" s="6" t="n">
        <v>0</v>
      </c>
      <c r="K39" s="6" t="n">
        <v>0</v>
      </c>
      <c r="L39" s="6" t="n">
        <v>0</v>
      </c>
      <c r="M39" s="6"/>
      <c r="N39" s="6" t="s">
        <v>394</v>
      </c>
      <c r="O39" s="6" t="s">
        <v>220</v>
      </c>
      <c r="P39" s="6" t="s">
        <v>395</v>
      </c>
      <c r="Q39" s="6" t="n">
        <v>1</v>
      </c>
      <c r="R39" s="6" t="s">
        <v>396</v>
      </c>
      <c r="S39" s="6" t="s">
        <v>212</v>
      </c>
      <c r="T39" s="6" t="n">
        <v>3</v>
      </c>
      <c r="U39" s="6" t="n">
        <v>0</v>
      </c>
      <c r="V39" s="6" t="n">
        <v>0</v>
      </c>
      <c r="W39" s="6" t="n">
        <v>0</v>
      </c>
      <c r="X39" s="6" t="n">
        <v>0</v>
      </c>
      <c r="Y39" s="14" t="s">
        <v>397</v>
      </c>
    </row>
    <row r="40" customFormat="false" ht="15" hidden="false" customHeight="false" outlineLevel="0" collapsed="false">
      <c r="A40" s="6" t="s">
        <v>398</v>
      </c>
      <c r="B40" s="6" t="s">
        <v>390</v>
      </c>
      <c r="C40" s="6" t="s">
        <v>375</v>
      </c>
      <c r="D40" s="6" t="s">
        <v>115</v>
      </c>
      <c r="E40" s="6" t="s">
        <v>391</v>
      </c>
      <c r="F40" s="6" t="s">
        <v>92</v>
      </c>
      <c r="G40" s="6" t="s">
        <v>218</v>
      </c>
      <c r="H40" s="6" t="s">
        <v>392</v>
      </c>
      <c r="I40" s="6" t="s">
        <v>393</v>
      </c>
      <c r="J40" s="6" t="n">
        <v>0</v>
      </c>
      <c r="K40" s="6" t="n">
        <v>0</v>
      </c>
      <c r="L40" s="6" t="n">
        <v>0</v>
      </c>
      <c r="M40" s="6"/>
      <c r="N40" s="6" t="s">
        <v>394</v>
      </c>
      <c r="O40" s="6" t="s">
        <v>220</v>
      </c>
      <c r="P40" s="6" t="s">
        <v>395</v>
      </c>
      <c r="Q40" s="6" t="n">
        <v>1</v>
      </c>
      <c r="R40" s="6" t="s">
        <v>396</v>
      </c>
      <c r="S40" s="6" t="s">
        <v>212</v>
      </c>
      <c r="T40" s="6" t="n">
        <v>3</v>
      </c>
      <c r="U40" s="6" t="n">
        <v>0</v>
      </c>
      <c r="V40" s="6" t="n">
        <v>0</v>
      </c>
      <c r="W40" s="6" t="n">
        <v>0</v>
      </c>
      <c r="X40" s="6" t="n">
        <v>0</v>
      </c>
      <c r="Y40" s="14" t="s">
        <v>399</v>
      </c>
    </row>
    <row r="41" customFormat="false" ht="15" hidden="false" customHeight="false" outlineLevel="0" collapsed="false">
      <c r="A41" s="6" t="s">
        <v>400</v>
      </c>
      <c r="B41" s="6" t="s">
        <v>390</v>
      </c>
      <c r="C41" s="6" t="s">
        <v>375</v>
      </c>
      <c r="D41" s="6" t="s">
        <v>401</v>
      </c>
      <c r="E41" s="6" t="s">
        <v>402</v>
      </c>
      <c r="F41" s="6" t="s">
        <v>125</v>
      </c>
      <c r="G41" s="6" t="s">
        <v>289</v>
      </c>
      <c r="H41" s="6" t="s">
        <v>403</v>
      </c>
      <c r="I41" s="6" t="s">
        <v>404</v>
      </c>
      <c r="J41" s="6" t="n">
        <v>0</v>
      </c>
      <c r="K41" s="6" t="n">
        <v>0</v>
      </c>
      <c r="L41" s="6" t="n">
        <v>0</v>
      </c>
      <c r="M41" s="6"/>
      <c r="N41" s="6" t="s">
        <v>405</v>
      </c>
      <c r="O41" s="6" t="s">
        <v>406</v>
      </c>
      <c r="P41" s="6" t="s">
        <v>407</v>
      </c>
      <c r="Q41" s="6" t="n">
        <v>1</v>
      </c>
      <c r="R41" s="6" t="s">
        <v>396</v>
      </c>
      <c r="S41" s="6" t="s">
        <v>212</v>
      </c>
      <c r="T41" s="6" t="n">
        <v>3</v>
      </c>
      <c r="U41" s="6" t="n">
        <v>0</v>
      </c>
      <c r="V41" s="6" t="n">
        <v>0</v>
      </c>
      <c r="W41" s="6" t="n">
        <v>0</v>
      </c>
      <c r="X41" s="6" t="n">
        <v>0</v>
      </c>
      <c r="Y41" s="14" t="s">
        <v>408</v>
      </c>
    </row>
    <row r="42" customFormat="false" ht="15" hidden="false" customHeight="false" outlineLevel="0" collapsed="false">
      <c r="A42" s="6" t="s">
        <v>409</v>
      </c>
      <c r="B42" s="6" t="s">
        <v>410</v>
      </c>
      <c r="C42" s="6" t="s">
        <v>375</v>
      </c>
      <c r="D42" s="6" t="s">
        <v>411</v>
      </c>
      <c r="E42" s="6" t="s">
        <v>412</v>
      </c>
      <c r="F42" s="6" t="s">
        <v>88</v>
      </c>
      <c r="G42" s="6" t="s">
        <v>203</v>
      </c>
      <c r="H42" s="6" t="s">
        <v>413</v>
      </c>
      <c r="I42" s="6" t="s">
        <v>393</v>
      </c>
      <c r="J42" s="6" t="n">
        <v>0</v>
      </c>
      <c r="K42" s="6" t="n">
        <v>0</v>
      </c>
      <c r="L42" s="6" t="n">
        <v>0</v>
      </c>
      <c r="M42" s="6"/>
      <c r="N42" s="6" t="s">
        <v>414</v>
      </c>
      <c r="O42" s="6" t="s">
        <v>406</v>
      </c>
      <c r="P42" s="6" t="s">
        <v>415</v>
      </c>
      <c r="Q42" s="6" t="n">
        <v>2</v>
      </c>
      <c r="R42" s="6" t="s">
        <v>396</v>
      </c>
      <c r="S42" s="6" t="s">
        <v>212</v>
      </c>
      <c r="T42" s="6" t="n">
        <v>3</v>
      </c>
      <c r="U42" s="6" t="n">
        <v>0</v>
      </c>
      <c r="V42" s="6" t="n">
        <v>0</v>
      </c>
      <c r="W42" s="6" t="n">
        <v>0</v>
      </c>
      <c r="X42" s="6" t="n">
        <v>0</v>
      </c>
      <c r="Y42" s="14" t="s">
        <v>416</v>
      </c>
    </row>
    <row r="43" customFormat="false" ht="15" hidden="false" customHeight="false" outlineLevel="0" collapsed="false">
      <c r="A43" s="6" t="s">
        <v>417</v>
      </c>
      <c r="B43" s="6" t="s">
        <v>418</v>
      </c>
      <c r="C43" s="6" t="s">
        <v>375</v>
      </c>
      <c r="D43" s="6" t="s">
        <v>99</v>
      </c>
      <c r="E43" s="6" t="s">
        <v>233</v>
      </c>
      <c r="F43" s="6" t="s">
        <v>204</v>
      </c>
      <c r="G43" s="6" t="s">
        <v>205</v>
      </c>
      <c r="H43" s="6" t="s">
        <v>419</v>
      </c>
      <c r="I43" s="6" t="s">
        <v>248</v>
      </c>
      <c r="J43" s="6" t="n">
        <v>0</v>
      </c>
      <c r="K43" s="6" t="n">
        <v>0</v>
      </c>
      <c r="L43" s="6" t="n">
        <v>0</v>
      </c>
      <c r="M43" s="6"/>
      <c r="N43" s="6" t="s">
        <v>236</v>
      </c>
      <c r="O43" s="6" t="s">
        <v>237</v>
      </c>
      <c r="P43" s="6" t="s">
        <v>420</v>
      </c>
      <c r="Q43" s="6" t="n">
        <v>1</v>
      </c>
      <c r="R43" s="6" t="s">
        <v>418</v>
      </c>
      <c r="S43" s="6" t="s">
        <v>375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14" t="s">
        <v>421</v>
      </c>
    </row>
    <row r="44" customFormat="false" ht="15" hidden="false" customHeight="false" outlineLevel="0" collapsed="false">
      <c r="A44" s="6" t="s">
        <v>422</v>
      </c>
      <c r="B44" s="6" t="s">
        <v>418</v>
      </c>
      <c r="C44" s="6" t="s">
        <v>375</v>
      </c>
      <c r="D44" s="6" t="s">
        <v>423</v>
      </c>
      <c r="E44" s="6" t="s">
        <v>424</v>
      </c>
      <c r="F44" s="6" t="s">
        <v>204</v>
      </c>
      <c r="G44" s="6" t="s">
        <v>205</v>
      </c>
      <c r="H44" s="6" t="s">
        <v>425</v>
      </c>
      <c r="I44" s="6" t="s">
        <v>375</v>
      </c>
      <c r="J44" s="6" t="n">
        <v>0</v>
      </c>
      <c r="K44" s="6" t="n">
        <v>0</v>
      </c>
      <c r="L44" s="6" t="n">
        <v>0</v>
      </c>
      <c r="M44" s="6"/>
      <c r="N44" s="6" t="s">
        <v>426</v>
      </c>
      <c r="O44" s="6" t="s">
        <v>209</v>
      </c>
      <c r="P44" s="6" t="s">
        <v>427</v>
      </c>
      <c r="Q44" s="6" t="n">
        <v>2</v>
      </c>
      <c r="R44" s="6" t="s">
        <v>418</v>
      </c>
      <c r="S44" s="6" t="s">
        <v>375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14" t="s">
        <v>428</v>
      </c>
    </row>
    <row r="45" customFormat="false" ht="15" hidden="false" customHeight="false" outlineLevel="0" collapsed="false">
      <c r="A45" s="6" t="s">
        <v>429</v>
      </c>
      <c r="B45" s="6" t="s">
        <v>418</v>
      </c>
      <c r="C45" s="6" t="s">
        <v>375</v>
      </c>
      <c r="D45" s="6" t="s">
        <v>430</v>
      </c>
      <c r="E45" s="6" t="s">
        <v>431</v>
      </c>
      <c r="F45" s="6" t="s">
        <v>375</v>
      </c>
      <c r="G45" s="6" t="s">
        <v>375</v>
      </c>
      <c r="H45" s="6" t="s">
        <v>432</v>
      </c>
      <c r="I45" s="6" t="s">
        <v>375</v>
      </c>
      <c r="J45" s="6" t="n">
        <v>0</v>
      </c>
      <c r="K45" s="6" t="n">
        <v>0</v>
      </c>
      <c r="L45" s="6" t="n">
        <v>0</v>
      </c>
      <c r="M45" s="6"/>
      <c r="N45" s="6" t="s">
        <v>433</v>
      </c>
      <c r="O45" s="6" t="s">
        <v>406</v>
      </c>
      <c r="P45" s="6" t="s">
        <v>434</v>
      </c>
      <c r="Q45" s="6" t="n">
        <v>1</v>
      </c>
      <c r="R45" s="6" t="s">
        <v>418</v>
      </c>
      <c r="S45" s="6" t="s">
        <v>375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14" t="s">
        <v>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5" min="5" style="0" width="40"/>
    <col collapsed="false" customWidth="true" hidden="false" outlineLevel="0" max="6" min="6" style="0" width="15"/>
    <col collapsed="false" customWidth="true" hidden="false" outlineLevel="0" max="7" min="7" style="0" width="30"/>
    <col collapsed="false" customWidth="true" hidden="false" outlineLevel="0" max="8" min="8" style="0" width="24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1" t="s">
        <v>436</v>
      </c>
    </row>
    <row r="2" customFormat="false" ht="15" hidden="false" customHeight="false" outlineLevel="0" collapsed="false">
      <c r="A2" s="12" t="s">
        <v>437</v>
      </c>
    </row>
    <row r="4" customFormat="false" ht="15" hidden="false" customHeight="false" outlineLevel="0" collapsed="false">
      <c r="A4" s="5" t="s">
        <v>438</v>
      </c>
      <c r="B4" s="5" t="s">
        <v>439</v>
      </c>
      <c r="C4" s="5" t="s">
        <v>440</v>
      </c>
      <c r="D4" s="5" t="s">
        <v>441</v>
      </c>
      <c r="E4" s="5" t="s">
        <v>442</v>
      </c>
      <c r="F4" s="5" t="s">
        <v>443</v>
      </c>
      <c r="G4" s="5" t="s">
        <v>444</v>
      </c>
      <c r="H4" s="5" t="s">
        <v>445</v>
      </c>
      <c r="I4" s="5" t="s">
        <v>446</v>
      </c>
    </row>
    <row r="5" customFormat="false" ht="35.05" hidden="false" customHeight="false" outlineLevel="0" collapsed="false">
      <c r="A5" s="6" t="s">
        <v>447</v>
      </c>
      <c r="B5" s="6" t="s">
        <v>448</v>
      </c>
      <c r="C5" s="6" t="s">
        <v>449</v>
      </c>
      <c r="D5" s="6" t="s">
        <v>450</v>
      </c>
      <c r="E5" s="14" t="s">
        <v>451</v>
      </c>
      <c r="F5" s="6" t="s">
        <v>452</v>
      </c>
      <c r="G5" s="44" t="s">
        <v>453</v>
      </c>
      <c r="H5" s="6" t="s">
        <v>454</v>
      </c>
      <c r="I5" s="14" t="s">
        <v>455</v>
      </c>
    </row>
    <row r="6" customFormat="false" ht="35.05" hidden="false" customHeight="false" outlineLevel="0" collapsed="false">
      <c r="A6" s="6" t="s">
        <v>456</v>
      </c>
      <c r="B6" s="6" t="s">
        <v>457</v>
      </c>
      <c r="C6" s="6" t="s">
        <v>458</v>
      </c>
      <c r="D6" s="6" t="s">
        <v>459</v>
      </c>
      <c r="E6" s="14" t="s">
        <v>460</v>
      </c>
      <c r="F6" s="6" t="s">
        <v>452</v>
      </c>
      <c r="G6" s="44" t="s">
        <v>453</v>
      </c>
      <c r="H6" s="6" t="s">
        <v>454</v>
      </c>
      <c r="I6" s="14" t="s">
        <v>455</v>
      </c>
    </row>
    <row r="7" customFormat="false" ht="35.05" hidden="false" customHeight="false" outlineLevel="0" collapsed="false">
      <c r="A7" s="6" t="s">
        <v>461</v>
      </c>
      <c r="B7" s="6" t="s">
        <v>448</v>
      </c>
      <c r="C7" s="6" t="s">
        <v>449</v>
      </c>
      <c r="D7" s="6" t="s">
        <v>462</v>
      </c>
      <c r="E7" s="14" t="s">
        <v>451</v>
      </c>
      <c r="F7" s="6" t="s">
        <v>452</v>
      </c>
      <c r="G7" s="44" t="s">
        <v>453</v>
      </c>
      <c r="H7" s="6" t="s">
        <v>454</v>
      </c>
      <c r="I7" s="14" t="s">
        <v>455</v>
      </c>
    </row>
    <row r="8" customFormat="false" ht="35.05" hidden="false" customHeight="false" outlineLevel="0" collapsed="false">
      <c r="A8" s="6" t="s">
        <v>463</v>
      </c>
      <c r="B8" s="6" t="s">
        <v>457</v>
      </c>
      <c r="C8" s="6" t="s">
        <v>458</v>
      </c>
      <c r="D8" s="6" t="s">
        <v>464</v>
      </c>
      <c r="E8" s="14" t="s">
        <v>460</v>
      </c>
      <c r="F8" s="6" t="s">
        <v>452</v>
      </c>
      <c r="G8" s="44" t="s">
        <v>453</v>
      </c>
      <c r="H8" s="6" t="s">
        <v>454</v>
      </c>
      <c r="I8" s="14" t="s">
        <v>455</v>
      </c>
    </row>
    <row r="9" customFormat="false" ht="35.05" hidden="false" customHeight="false" outlineLevel="0" collapsed="false">
      <c r="A9" s="6" t="s">
        <v>465</v>
      </c>
      <c r="B9" s="6" t="s">
        <v>448</v>
      </c>
      <c r="C9" s="6" t="s">
        <v>449</v>
      </c>
      <c r="D9" s="6" t="s">
        <v>466</v>
      </c>
      <c r="E9" s="14" t="s">
        <v>467</v>
      </c>
      <c r="F9" s="6" t="s">
        <v>452</v>
      </c>
      <c r="G9" s="44" t="s">
        <v>453</v>
      </c>
      <c r="H9" s="6" t="s">
        <v>454</v>
      </c>
      <c r="I9" s="14" t="s">
        <v>455</v>
      </c>
    </row>
    <row r="10" customFormat="false" ht="35.05" hidden="false" customHeight="false" outlineLevel="0" collapsed="false">
      <c r="A10" s="6" t="s">
        <v>468</v>
      </c>
      <c r="B10" s="6" t="s">
        <v>457</v>
      </c>
      <c r="C10" s="6" t="s">
        <v>458</v>
      </c>
      <c r="D10" s="6" t="s">
        <v>469</v>
      </c>
      <c r="E10" s="14" t="s">
        <v>470</v>
      </c>
      <c r="F10" s="6" t="s">
        <v>452</v>
      </c>
      <c r="G10" s="44" t="s">
        <v>453</v>
      </c>
      <c r="H10" s="6" t="s">
        <v>454</v>
      </c>
      <c r="I10" s="14" t="s">
        <v>455</v>
      </c>
    </row>
    <row r="11" customFormat="false" ht="35.05" hidden="false" customHeight="false" outlineLevel="0" collapsed="false">
      <c r="A11" s="6" t="s">
        <v>471</v>
      </c>
      <c r="B11" s="6" t="s">
        <v>448</v>
      </c>
      <c r="C11" s="6" t="s">
        <v>449</v>
      </c>
      <c r="D11" s="6" t="s">
        <v>472</v>
      </c>
      <c r="E11" s="14" t="s">
        <v>467</v>
      </c>
      <c r="F11" s="6" t="s">
        <v>452</v>
      </c>
      <c r="G11" s="44" t="s">
        <v>453</v>
      </c>
      <c r="H11" s="6" t="s">
        <v>454</v>
      </c>
      <c r="I11" s="14" t="s">
        <v>455</v>
      </c>
    </row>
    <row r="12" customFormat="false" ht="35.05" hidden="false" customHeight="false" outlineLevel="0" collapsed="false">
      <c r="A12" s="6" t="s">
        <v>473</v>
      </c>
      <c r="B12" s="6" t="s">
        <v>457</v>
      </c>
      <c r="C12" s="6" t="s">
        <v>458</v>
      </c>
      <c r="D12" s="6" t="s">
        <v>474</v>
      </c>
      <c r="E12" s="14" t="s">
        <v>470</v>
      </c>
      <c r="F12" s="6" t="s">
        <v>452</v>
      </c>
      <c r="G12" s="44" t="s">
        <v>453</v>
      </c>
      <c r="H12" s="6" t="s">
        <v>454</v>
      </c>
      <c r="I12" s="14" t="s">
        <v>455</v>
      </c>
    </row>
    <row r="13" customFormat="false" ht="35.05" hidden="false" customHeight="false" outlineLevel="0" collapsed="false">
      <c r="A13" s="6" t="s">
        <v>475</v>
      </c>
      <c r="B13" s="6" t="s">
        <v>448</v>
      </c>
      <c r="C13" s="6" t="s">
        <v>449</v>
      </c>
      <c r="D13" s="6" t="s">
        <v>476</v>
      </c>
      <c r="E13" s="14" t="s">
        <v>477</v>
      </c>
      <c r="F13" s="6" t="s">
        <v>452</v>
      </c>
      <c r="G13" s="44" t="s">
        <v>453</v>
      </c>
      <c r="H13" s="6" t="s">
        <v>454</v>
      </c>
      <c r="I13" s="14" t="s">
        <v>455</v>
      </c>
    </row>
    <row r="14" customFormat="false" ht="35.05" hidden="false" customHeight="false" outlineLevel="0" collapsed="false">
      <c r="A14" s="6" t="s">
        <v>478</v>
      </c>
      <c r="B14" s="6" t="s">
        <v>457</v>
      </c>
      <c r="C14" s="6" t="s">
        <v>458</v>
      </c>
      <c r="D14" s="6" t="s">
        <v>479</v>
      </c>
      <c r="E14" s="14" t="s">
        <v>480</v>
      </c>
      <c r="F14" s="6" t="s">
        <v>452</v>
      </c>
      <c r="G14" s="44" t="s">
        <v>453</v>
      </c>
      <c r="H14" s="6" t="s">
        <v>454</v>
      </c>
      <c r="I14" s="14" t="s">
        <v>455</v>
      </c>
    </row>
    <row r="15" customFormat="false" ht="35.05" hidden="false" customHeight="false" outlineLevel="0" collapsed="false">
      <c r="A15" s="6" t="s">
        <v>481</v>
      </c>
      <c r="B15" s="6" t="s">
        <v>448</v>
      </c>
      <c r="C15" s="6" t="s">
        <v>449</v>
      </c>
      <c r="D15" s="6" t="s">
        <v>482</v>
      </c>
      <c r="E15" s="14" t="s">
        <v>483</v>
      </c>
      <c r="F15" s="6" t="s">
        <v>452</v>
      </c>
      <c r="G15" s="44" t="s">
        <v>453</v>
      </c>
      <c r="H15" s="6" t="s">
        <v>454</v>
      </c>
      <c r="I15" s="14" t="s">
        <v>455</v>
      </c>
    </row>
    <row r="16" customFormat="false" ht="35.05" hidden="false" customHeight="false" outlineLevel="0" collapsed="false">
      <c r="A16" s="6" t="s">
        <v>484</v>
      </c>
      <c r="B16" s="6" t="s">
        <v>457</v>
      </c>
      <c r="C16" s="6" t="s">
        <v>458</v>
      </c>
      <c r="D16" s="6" t="s">
        <v>485</v>
      </c>
      <c r="E16" s="14" t="s">
        <v>486</v>
      </c>
      <c r="F16" s="6" t="s">
        <v>452</v>
      </c>
      <c r="G16" s="44" t="s">
        <v>453</v>
      </c>
      <c r="H16" s="6" t="s">
        <v>454</v>
      </c>
      <c r="I16" s="14" t="s">
        <v>455</v>
      </c>
    </row>
    <row r="17" customFormat="false" ht="35.05" hidden="false" customHeight="false" outlineLevel="0" collapsed="false">
      <c r="A17" s="6" t="s">
        <v>487</v>
      </c>
      <c r="B17" s="6" t="s">
        <v>448</v>
      </c>
      <c r="C17" s="6" t="s">
        <v>449</v>
      </c>
      <c r="D17" s="6" t="s">
        <v>488</v>
      </c>
      <c r="E17" s="14" t="s">
        <v>489</v>
      </c>
      <c r="F17" s="6" t="s">
        <v>452</v>
      </c>
      <c r="G17" s="44" t="s">
        <v>453</v>
      </c>
      <c r="H17" s="6" t="s">
        <v>454</v>
      </c>
      <c r="I17" s="14" t="s">
        <v>455</v>
      </c>
    </row>
    <row r="18" customFormat="false" ht="35.05" hidden="false" customHeight="false" outlineLevel="0" collapsed="false">
      <c r="A18" s="6" t="s">
        <v>490</v>
      </c>
      <c r="B18" s="6" t="s">
        <v>457</v>
      </c>
      <c r="C18" s="6" t="s">
        <v>458</v>
      </c>
      <c r="D18" s="6" t="s">
        <v>491</v>
      </c>
      <c r="E18" s="14" t="s">
        <v>492</v>
      </c>
      <c r="F18" s="6" t="s">
        <v>452</v>
      </c>
      <c r="G18" s="44" t="s">
        <v>453</v>
      </c>
      <c r="H18" s="6" t="s">
        <v>454</v>
      </c>
      <c r="I18" s="14" t="s">
        <v>455</v>
      </c>
    </row>
    <row r="19" customFormat="false" ht="35.05" hidden="false" customHeight="false" outlineLevel="0" collapsed="false">
      <c r="A19" s="6" t="s">
        <v>493</v>
      </c>
      <c r="B19" s="6" t="s">
        <v>448</v>
      </c>
      <c r="C19" s="6" t="s">
        <v>449</v>
      </c>
      <c r="D19" s="6" t="s">
        <v>494</v>
      </c>
      <c r="E19" s="14" t="s">
        <v>495</v>
      </c>
      <c r="F19" s="6" t="s">
        <v>452</v>
      </c>
      <c r="G19" s="44" t="s">
        <v>453</v>
      </c>
      <c r="H19" s="6" t="s">
        <v>454</v>
      </c>
      <c r="I19" s="14" t="s">
        <v>455</v>
      </c>
    </row>
    <row r="20" customFormat="false" ht="35.05" hidden="false" customHeight="false" outlineLevel="0" collapsed="false">
      <c r="A20" s="6" t="s">
        <v>496</v>
      </c>
      <c r="B20" s="6" t="s">
        <v>457</v>
      </c>
      <c r="C20" s="6" t="s">
        <v>458</v>
      </c>
      <c r="D20" s="6" t="s">
        <v>497</v>
      </c>
      <c r="E20" s="14" t="s">
        <v>498</v>
      </c>
      <c r="F20" s="6" t="s">
        <v>452</v>
      </c>
      <c r="G20" s="44" t="s">
        <v>453</v>
      </c>
      <c r="H20" s="6" t="s">
        <v>454</v>
      </c>
      <c r="I20" s="14" t="s">
        <v>455</v>
      </c>
    </row>
    <row r="21" customFormat="false" ht="35.05" hidden="false" customHeight="false" outlineLevel="0" collapsed="false">
      <c r="A21" s="6" t="s">
        <v>499</v>
      </c>
      <c r="B21" s="6" t="s">
        <v>448</v>
      </c>
      <c r="C21" s="6" t="s">
        <v>449</v>
      </c>
      <c r="D21" s="6" t="s">
        <v>500</v>
      </c>
      <c r="E21" s="14" t="s">
        <v>501</v>
      </c>
      <c r="F21" s="6" t="s">
        <v>452</v>
      </c>
      <c r="G21" s="44" t="s">
        <v>453</v>
      </c>
      <c r="H21" s="6" t="s">
        <v>454</v>
      </c>
      <c r="I21" s="14" t="s">
        <v>455</v>
      </c>
    </row>
    <row r="22" customFormat="false" ht="35.05" hidden="false" customHeight="false" outlineLevel="0" collapsed="false">
      <c r="A22" s="6" t="s">
        <v>502</v>
      </c>
      <c r="B22" s="6" t="s">
        <v>457</v>
      </c>
      <c r="C22" s="6" t="s">
        <v>458</v>
      </c>
      <c r="D22" s="6" t="s">
        <v>503</v>
      </c>
      <c r="E22" s="14" t="s">
        <v>504</v>
      </c>
      <c r="F22" s="6" t="s">
        <v>452</v>
      </c>
      <c r="G22" s="44" t="s">
        <v>453</v>
      </c>
      <c r="H22" s="6" t="s">
        <v>454</v>
      </c>
      <c r="I22" s="14" t="s">
        <v>455</v>
      </c>
    </row>
    <row r="23" customFormat="false" ht="35.05" hidden="false" customHeight="false" outlineLevel="0" collapsed="false">
      <c r="A23" s="6" t="s">
        <v>505</v>
      </c>
      <c r="B23" s="6" t="s">
        <v>448</v>
      </c>
      <c r="C23" s="6" t="s">
        <v>449</v>
      </c>
      <c r="D23" s="6" t="s">
        <v>506</v>
      </c>
      <c r="E23" s="14" t="s">
        <v>507</v>
      </c>
      <c r="F23" s="6" t="s">
        <v>452</v>
      </c>
      <c r="G23" s="44" t="s">
        <v>453</v>
      </c>
      <c r="H23" s="6" t="s">
        <v>454</v>
      </c>
      <c r="I23" s="14" t="s">
        <v>455</v>
      </c>
    </row>
    <row r="24" customFormat="false" ht="35.05" hidden="false" customHeight="false" outlineLevel="0" collapsed="false">
      <c r="A24" s="6" t="s">
        <v>508</v>
      </c>
      <c r="B24" s="6" t="s">
        <v>457</v>
      </c>
      <c r="C24" s="6" t="s">
        <v>458</v>
      </c>
      <c r="D24" s="6" t="s">
        <v>509</v>
      </c>
      <c r="E24" s="14" t="s">
        <v>510</v>
      </c>
      <c r="F24" s="6" t="s">
        <v>452</v>
      </c>
      <c r="G24" s="44" t="s">
        <v>453</v>
      </c>
      <c r="H24" s="6" t="s">
        <v>454</v>
      </c>
      <c r="I24" s="14" t="s">
        <v>455</v>
      </c>
    </row>
    <row r="25" customFormat="false" ht="35.05" hidden="false" customHeight="false" outlineLevel="0" collapsed="false">
      <c r="A25" s="6" t="s">
        <v>511</v>
      </c>
      <c r="B25" s="6" t="s">
        <v>448</v>
      </c>
      <c r="C25" s="6" t="s">
        <v>449</v>
      </c>
      <c r="D25" s="6" t="s">
        <v>512</v>
      </c>
      <c r="E25" s="14" t="s">
        <v>513</v>
      </c>
      <c r="F25" s="6" t="s">
        <v>452</v>
      </c>
      <c r="G25" s="44" t="s">
        <v>514</v>
      </c>
      <c r="H25" s="6" t="s">
        <v>515</v>
      </c>
      <c r="I25" s="14" t="s">
        <v>516</v>
      </c>
    </row>
    <row r="26" customFormat="false" ht="35.05" hidden="false" customHeight="false" outlineLevel="0" collapsed="false">
      <c r="A26" s="6" t="s">
        <v>517</v>
      </c>
      <c r="B26" s="6" t="s">
        <v>448</v>
      </c>
      <c r="C26" s="6" t="s">
        <v>449</v>
      </c>
      <c r="D26" s="6" t="s">
        <v>518</v>
      </c>
      <c r="E26" s="14" t="s">
        <v>519</v>
      </c>
      <c r="F26" s="6" t="s">
        <v>452</v>
      </c>
      <c r="G26" s="44" t="s">
        <v>514</v>
      </c>
      <c r="H26" s="6" t="s">
        <v>515</v>
      </c>
      <c r="I26" s="14" t="s">
        <v>516</v>
      </c>
    </row>
    <row r="27" customFormat="false" ht="35.05" hidden="false" customHeight="false" outlineLevel="0" collapsed="false">
      <c r="A27" s="6" t="s">
        <v>520</v>
      </c>
      <c r="B27" s="6" t="s">
        <v>448</v>
      </c>
      <c r="C27" s="6" t="s">
        <v>449</v>
      </c>
      <c r="D27" s="6" t="s">
        <v>521</v>
      </c>
      <c r="E27" s="14" t="s">
        <v>522</v>
      </c>
      <c r="F27" s="6" t="s">
        <v>452</v>
      </c>
      <c r="G27" s="44" t="s">
        <v>514</v>
      </c>
      <c r="H27" s="6" t="s">
        <v>515</v>
      </c>
      <c r="I27" s="14" t="s">
        <v>516</v>
      </c>
    </row>
    <row r="28" customFormat="false" ht="35.05" hidden="false" customHeight="false" outlineLevel="0" collapsed="false">
      <c r="A28" s="6" t="s">
        <v>523</v>
      </c>
      <c r="B28" s="6" t="s">
        <v>448</v>
      </c>
      <c r="C28" s="6" t="s">
        <v>449</v>
      </c>
      <c r="D28" s="6" t="s">
        <v>524</v>
      </c>
      <c r="E28" s="14" t="s">
        <v>525</v>
      </c>
      <c r="F28" s="6" t="s">
        <v>452</v>
      </c>
      <c r="G28" s="44" t="s">
        <v>514</v>
      </c>
      <c r="H28" s="6" t="s">
        <v>515</v>
      </c>
      <c r="I28" s="14" t="s">
        <v>516</v>
      </c>
    </row>
    <row r="29" customFormat="false" ht="35.05" hidden="false" customHeight="false" outlineLevel="0" collapsed="false">
      <c r="A29" s="6" t="s">
        <v>526</v>
      </c>
      <c r="B29" s="6" t="s">
        <v>448</v>
      </c>
      <c r="C29" s="6" t="s">
        <v>449</v>
      </c>
      <c r="D29" s="6" t="s">
        <v>527</v>
      </c>
      <c r="E29" s="14" t="s">
        <v>528</v>
      </c>
      <c r="F29" s="6" t="s">
        <v>452</v>
      </c>
      <c r="G29" s="44" t="s">
        <v>514</v>
      </c>
      <c r="H29" s="6" t="s">
        <v>515</v>
      </c>
      <c r="I29" s="14" t="s">
        <v>516</v>
      </c>
    </row>
    <row r="30" customFormat="false" ht="35.05" hidden="false" customHeight="false" outlineLevel="0" collapsed="false">
      <c r="A30" s="6" t="s">
        <v>304</v>
      </c>
      <c r="B30" s="6" t="s">
        <v>448</v>
      </c>
      <c r="C30" s="6" t="s">
        <v>449</v>
      </c>
      <c r="D30" s="6" t="s">
        <v>529</v>
      </c>
      <c r="E30" s="14" t="s">
        <v>530</v>
      </c>
      <c r="F30" s="6" t="s">
        <v>452</v>
      </c>
      <c r="G30" s="44" t="s">
        <v>514</v>
      </c>
      <c r="H30" s="6" t="s">
        <v>515</v>
      </c>
      <c r="I30" s="14" t="s">
        <v>516</v>
      </c>
    </row>
    <row r="31" customFormat="false" ht="35.05" hidden="false" customHeight="false" outlineLevel="0" collapsed="false">
      <c r="A31" s="6" t="s">
        <v>308</v>
      </c>
      <c r="B31" s="6" t="s">
        <v>448</v>
      </c>
      <c r="C31" s="6" t="s">
        <v>449</v>
      </c>
      <c r="D31" s="6" t="s">
        <v>531</v>
      </c>
      <c r="E31" s="14" t="s">
        <v>532</v>
      </c>
      <c r="F31" s="6" t="s">
        <v>452</v>
      </c>
      <c r="G31" s="44" t="s">
        <v>514</v>
      </c>
      <c r="H31" s="6" t="s">
        <v>515</v>
      </c>
      <c r="I31" s="14" t="s">
        <v>516</v>
      </c>
    </row>
    <row r="32" customFormat="false" ht="35.05" hidden="false" customHeight="false" outlineLevel="0" collapsed="false">
      <c r="A32" s="6" t="s">
        <v>275</v>
      </c>
      <c r="B32" s="6" t="s">
        <v>448</v>
      </c>
      <c r="C32" s="6" t="s">
        <v>449</v>
      </c>
      <c r="D32" s="6" t="s">
        <v>533</v>
      </c>
      <c r="E32" s="14" t="s">
        <v>534</v>
      </c>
      <c r="F32" s="6" t="s">
        <v>452</v>
      </c>
      <c r="G32" s="44" t="s">
        <v>514</v>
      </c>
      <c r="H32" s="6" t="s">
        <v>515</v>
      </c>
      <c r="I32" s="14" t="s">
        <v>516</v>
      </c>
    </row>
    <row r="33" customFormat="false" ht="35.05" hidden="false" customHeight="false" outlineLevel="0" collapsed="false">
      <c r="A33" s="6" t="s">
        <v>279</v>
      </c>
      <c r="B33" s="6" t="s">
        <v>448</v>
      </c>
      <c r="C33" s="6" t="s">
        <v>449</v>
      </c>
      <c r="D33" s="6" t="s">
        <v>535</v>
      </c>
      <c r="E33" s="14" t="s">
        <v>536</v>
      </c>
      <c r="F33" s="6" t="s">
        <v>452</v>
      </c>
      <c r="G33" s="44" t="s">
        <v>514</v>
      </c>
      <c r="H33" s="6" t="s">
        <v>515</v>
      </c>
      <c r="I33" s="14" t="s">
        <v>516</v>
      </c>
    </row>
    <row r="34" customFormat="false" ht="35.05" hidden="false" customHeight="false" outlineLevel="0" collapsed="false">
      <c r="A34" s="6" t="s">
        <v>319</v>
      </c>
      <c r="B34" s="6" t="s">
        <v>448</v>
      </c>
      <c r="C34" s="6" t="s">
        <v>449</v>
      </c>
      <c r="D34" s="6" t="s">
        <v>537</v>
      </c>
      <c r="E34" s="14" t="s">
        <v>538</v>
      </c>
      <c r="F34" s="6" t="s">
        <v>452</v>
      </c>
      <c r="G34" s="44" t="s">
        <v>514</v>
      </c>
      <c r="H34" s="6" t="s">
        <v>515</v>
      </c>
      <c r="I34" s="14" t="s">
        <v>516</v>
      </c>
    </row>
    <row r="35" customFormat="false" ht="35.05" hidden="false" customHeight="false" outlineLevel="0" collapsed="false">
      <c r="A35" s="6" t="s">
        <v>325</v>
      </c>
      <c r="B35" s="6" t="s">
        <v>448</v>
      </c>
      <c r="C35" s="6" t="s">
        <v>449</v>
      </c>
      <c r="D35" s="6" t="s">
        <v>539</v>
      </c>
      <c r="E35" s="14" t="s">
        <v>540</v>
      </c>
      <c r="F35" s="6" t="s">
        <v>452</v>
      </c>
      <c r="G35" s="44" t="s">
        <v>514</v>
      </c>
      <c r="H35" s="6" t="s">
        <v>515</v>
      </c>
      <c r="I35" s="14" t="s">
        <v>516</v>
      </c>
    </row>
    <row r="36" customFormat="false" ht="35.05" hidden="false" customHeight="false" outlineLevel="0" collapsed="false">
      <c r="A36" s="6" t="s">
        <v>284</v>
      </c>
      <c r="B36" s="6" t="s">
        <v>448</v>
      </c>
      <c r="C36" s="6" t="s">
        <v>449</v>
      </c>
      <c r="D36" s="6" t="s">
        <v>541</v>
      </c>
      <c r="E36" s="14" t="s">
        <v>542</v>
      </c>
      <c r="F36" s="6" t="s">
        <v>452</v>
      </c>
      <c r="G36" s="44" t="s">
        <v>514</v>
      </c>
      <c r="H36" s="6" t="s">
        <v>515</v>
      </c>
      <c r="I36" s="14" t="s">
        <v>516</v>
      </c>
    </row>
    <row r="37" customFormat="false" ht="35.05" hidden="false" customHeight="false" outlineLevel="0" collapsed="false">
      <c r="A37" s="6" t="s">
        <v>287</v>
      </c>
      <c r="B37" s="6" t="s">
        <v>448</v>
      </c>
      <c r="C37" s="6" t="s">
        <v>449</v>
      </c>
      <c r="D37" s="6" t="s">
        <v>543</v>
      </c>
      <c r="E37" s="14" t="s">
        <v>544</v>
      </c>
      <c r="F37" s="6" t="s">
        <v>452</v>
      </c>
      <c r="G37" s="44" t="s">
        <v>514</v>
      </c>
      <c r="H37" s="6" t="s">
        <v>515</v>
      </c>
      <c r="I37" s="14" t="s">
        <v>516</v>
      </c>
    </row>
    <row r="38" customFormat="false" ht="35.05" hidden="false" customHeight="false" outlineLevel="0" collapsed="false">
      <c r="A38" s="6" t="s">
        <v>330</v>
      </c>
      <c r="B38" s="6" t="s">
        <v>448</v>
      </c>
      <c r="C38" s="6" t="s">
        <v>449</v>
      </c>
      <c r="D38" s="6" t="s">
        <v>545</v>
      </c>
      <c r="E38" s="14" t="s">
        <v>546</v>
      </c>
      <c r="F38" s="6" t="s">
        <v>452</v>
      </c>
      <c r="G38" s="44" t="s">
        <v>514</v>
      </c>
      <c r="H38" s="6" t="s">
        <v>515</v>
      </c>
      <c r="I38" s="14" t="s">
        <v>516</v>
      </c>
    </row>
    <row r="39" customFormat="false" ht="35.05" hidden="false" customHeight="false" outlineLevel="0" collapsed="false">
      <c r="A39" s="6" t="s">
        <v>335</v>
      </c>
      <c r="B39" s="6" t="s">
        <v>448</v>
      </c>
      <c r="C39" s="6" t="s">
        <v>449</v>
      </c>
      <c r="D39" s="6" t="s">
        <v>547</v>
      </c>
      <c r="E39" s="14" t="s">
        <v>548</v>
      </c>
      <c r="F39" s="6" t="s">
        <v>452</v>
      </c>
      <c r="G39" s="44" t="s">
        <v>514</v>
      </c>
      <c r="H39" s="6" t="s">
        <v>515</v>
      </c>
      <c r="I39" s="14" t="s">
        <v>516</v>
      </c>
    </row>
    <row r="40" customFormat="false" ht="35.05" hidden="false" customHeight="false" outlineLevel="0" collapsed="false">
      <c r="A40" s="6" t="s">
        <v>314</v>
      </c>
      <c r="B40" s="6" t="s">
        <v>448</v>
      </c>
      <c r="C40" s="6" t="s">
        <v>449</v>
      </c>
      <c r="D40" s="6" t="s">
        <v>549</v>
      </c>
      <c r="E40" s="14" t="s">
        <v>550</v>
      </c>
      <c r="F40" s="6" t="s">
        <v>452</v>
      </c>
      <c r="G40" s="44" t="s">
        <v>514</v>
      </c>
      <c r="H40" s="6" t="s">
        <v>515</v>
      </c>
      <c r="I40" s="14" t="s">
        <v>516</v>
      </c>
    </row>
    <row r="41" customFormat="false" ht="35.05" hidden="false" customHeight="false" outlineLevel="0" collapsed="false">
      <c r="A41" s="6" t="s">
        <v>341</v>
      </c>
      <c r="B41" s="6" t="s">
        <v>448</v>
      </c>
      <c r="C41" s="6" t="s">
        <v>449</v>
      </c>
      <c r="D41" s="6" t="s">
        <v>551</v>
      </c>
      <c r="E41" s="14" t="s">
        <v>552</v>
      </c>
      <c r="F41" s="6" t="s">
        <v>452</v>
      </c>
      <c r="G41" s="44" t="s">
        <v>514</v>
      </c>
      <c r="H41" s="6" t="s">
        <v>515</v>
      </c>
      <c r="I41" s="14" t="s">
        <v>516</v>
      </c>
    </row>
    <row r="42" customFormat="false" ht="23.85" hidden="false" customHeight="false" outlineLevel="0" collapsed="false">
      <c r="A42" s="6" t="s">
        <v>347</v>
      </c>
      <c r="B42" s="6" t="s">
        <v>448</v>
      </c>
      <c r="C42" s="6" t="s">
        <v>553</v>
      </c>
      <c r="D42" s="6" t="s">
        <v>554</v>
      </c>
      <c r="E42" s="14" t="s">
        <v>555</v>
      </c>
      <c r="F42" s="6" t="s">
        <v>452</v>
      </c>
      <c r="G42" s="45" t="s">
        <v>556</v>
      </c>
      <c r="H42" s="6" t="s">
        <v>557</v>
      </c>
      <c r="I42" s="14" t="s">
        <v>558</v>
      </c>
    </row>
    <row r="43" customFormat="false" ht="35.05" hidden="false" customHeight="false" outlineLevel="0" collapsed="false">
      <c r="A43" s="6" t="s">
        <v>361</v>
      </c>
      <c r="B43" s="6" t="s">
        <v>448</v>
      </c>
      <c r="C43" s="6" t="s">
        <v>449</v>
      </c>
      <c r="D43" s="6" t="s">
        <v>559</v>
      </c>
      <c r="E43" s="14" t="s">
        <v>560</v>
      </c>
      <c r="F43" s="6" t="s">
        <v>452</v>
      </c>
      <c r="G43" s="44" t="s">
        <v>514</v>
      </c>
      <c r="H43" s="6" t="s">
        <v>515</v>
      </c>
      <c r="I43" s="14" t="s">
        <v>516</v>
      </c>
    </row>
    <row r="44" customFormat="false" ht="35.05" hidden="false" customHeight="false" outlineLevel="0" collapsed="false">
      <c r="A44" s="6" t="s">
        <v>366</v>
      </c>
      <c r="B44" s="6" t="s">
        <v>448</v>
      </c>
      <c r="C44" s="6" t="s">
        <v>449</v>
      </c>
      <c r="D44" s="6" t="s">
        <v>561</v>
      </c>
      <c r="E44" s="14" t="s">
        <v>562</v>
      </c>
      <c r="F44" s="6" t="s">
        <v>452</v>
      </c>
      <c r="G44" s="44" t="s">
        <v>514</v>
      </c>
      <c r="H44" s="6" t="s">
        <v>515</v>
      </c>
      <c r="I44" s="14" t="s">
        <v>516</v>
      </c>
    </row>
    <row r="45" customFormat="false" ht="35.05" hidden="false" customHeight="false" outlineLevel="0" collapsed="false">
      <c r="A45" s="6" t="s">
        <v>356</v>
      </c>
      <c r="B45" s="6" t="s">
        <v>448</v>
      </c>
      <c r="C45" s="6" t="s">
        <v>449</v>
      </c>
      <c r="D45" s="6" t="s">
        <v>563</v>
      </c>
      <c r="E45" s="14" t="s">
        <v>564</v>
      </c>
      <c r="F45" s="6" t="s">
        <v>452</v>
      </c>
      <c r="G45" s="44" t="s">
        <v>514</v>
      </c>
      <c r="H45" s="6" t="s">
        <v>515</v>
      </c>
      <c r="I45" s="14" t="s">
        <v>516</v>
      </c>
    </row>
    <row r="46" customFormat="false" ht="35.05" hidden="false" customHeight="false" outlineLevel="0" collapsed="false">
      <c r="A46" s="6" t="s">
        <v>371</v>
      </c>
      <c r="B46" s="6" t="s">
        <v>448</v>
      </c>
      <c r="C46" s="6" t="s">
        <v>449</v>
      </c>
      <c r="D46" s="6" t="s">
        <v>565</v>
      </c>
      <c r="E46" s="14" t="s">
        <v>566</v>
      </c>
      <c r="F46" s="6" t="s">
        <v>452</v>
      </c>
      <c r="G46" s="44" t="s">
        <v>514</v>
      </c>
      <c r="H46" s="6" t="s">
        <v>515</v>
      </c>
      <c r="I46" s="14" t="s">
        <v>516</v>
      </c>
    </row>
    <row r="47" customFormat="false" ht="23.85" hidden="false" customHeight="false" outlineLevel="0" collapsed="false">
      <c r="A47" s="6" t="s">
        <v>567</v>
      </c>
      <c r="B47" s="6" t="s">
        <v>448</v>
      </c>
      <c r="C47" s="6" t="s">
        <v>568</v>
      </c>
      <c r="D47" s="6" t="s">
        <v>569</v>
      </c>
      <c r="E47" s="14" t="s">
        <v>570</v>
      </c>
      <c r="F47" s="6" t="s">
        <v>452</v>
      </c>
      <c r="G47" s="46" t="s">
        <v>571</v>
      </c>
      <c r="H47" s="6" t="s">
        <v>572</v>
      </c>
      <c r="I47" s="14" t="s">
        <v>573</v>
      </c>
    </row>
    <row r="48" customFormat="false" ht="23.85" hidden="false" customHeight="false" outlineLevel="0" collapsed="false">
      <c r="A48" s="6" t="s">
        <v>395</v>
      </c>
      <c r="B48" s="6" t="s">
        <v>574</v>
      </c>
      <c r="C48" s="6" t="s">
        <v>575</v>
      </c>
      <c r="D48" s="6" t="s">
        <v>576</v>
      </c>
      <c r="E48" s="14" t="s">
        <v>577</v>
      </c>
      <c r="F48" s="6" t="s">
        <v>452</v>
      </c>
      <c r="G48" s="44" t="s">
        <v>578</v>
      </c>
      <c r="H48" s="6" t="s">
        <v>579</v>
      </c>
      <c r="I48" s="14" t="s">
        <v>580</v>
      </c>
    </row>
    <row r="49" customFormat="false" ht="15" hidden="false" customHeight="false" outlineLevel="0" collapsed="false">
      <c r="A49" s="6" t="s">
        <v>407</v>
      </c>
      <c r="B49" s="6" t="s">
        <v>448</v>
      </c>
      <c r="C49" s="6" t="s">
        <v>575</v>
      </c>
      <c r="D49" s="6" t="s">
        <v>581</v>
      </c>
      <c r="E49" s="14" t="s">
        <v>582</v>
      </c>
      <c r="F49" s="6" t="s">
        <v>452</v>
      </c>
      <c r="G49" s="44" t="s">
        <v>583</v>
      </c>
      <c r="H49" s="6" t="s">
        <v>584</v>
      </c>
      <c r="I49" s="14" t="s">
        <v>585</v>
      </c>
    </row>
    <row r="50" customFormat="false" ht="23.85" hidden="false" customHeight="false" outlineLevel="0" collapsed="false">
      <c r="A50" s="6" t="s">
        <v>434</v>
      </c>
      <c r="B50" s="6" t="s">
        <v>586</v>
      </c>
      <c r="C50" s="6" t="s">
        <v>587</v>
      </c>
      <c r="D50" s="6" t="s">
        <v>588</v>
      </c>
      <c r="E50" s="14" t="s">
        <v>589</v>
      </c>
      <c r="F50" s="6" t="s">
        <v>452</v>
      </c>
      <c r="G50" s="44" t="s">
        <v>583</v>
      </c>
      <c r="H50" s="6" t="s">
        <v>590</v>
      </c>
      <c r="I50" s="14" t="s">
        <v>591</v>
      </c>
    </row>
    <row r="51" customFormat="false" ht="23.85" hidden="false" customHeight="false" outlineLevel="0" collapsed="false">
      <c r="A51" s="6" t="s">
        <v>592</v>
      </c>
      <c r="B51" s="6" t="s">
        <v>593</v>
      </c>
      <c r="C51" s="6" t="s">
        <v>594</v>
      </c>
      <c r="D51" s="6" t="s">
        <v>595</v>
      </c>
      <c r="E51" s="14" t="s">
        <v>596</v>
      </c>
      <c r="F51" s="6" t="s">
        <v>452</v>
      </c>
      <c r="G51" s="44" t="s">
        <v>597</v>
      </c>
      <c r="H51" s="6" t="s">
        <v>598</v>
      </c>
      <c r="I51" s="14" t="s">
        <v>599</v>
      </c>
    </row>
    <row r="52" customFormat="false" ht="23.85" hidden="false" customHeight="false" outlineLevel="0" collapsed="false">
      <c r="A52" s="6" t="s">
        <v>600</v>
      </c>
      <c r="B52" s="6" t="s">
        <v>448</v>
      </c>
      <c r="C52" s="6" t="s">
        <v>601</v>
      </c>
      <c r="D52" s="6" t="s">
        <v>602</v>
      </c>
      <c r="E52" s="14" t="s">
        <v>603</v>
      </c>
      <c r="F52" s="6" t="s">
        <v>452</v>
      </c>
      <c r="G52" s="44" t="s">
        <v>597</v>
      </c>
      <c r="H52" s="6" t="s">
        <v>598</v>
      </c>
      <c r="I52" s="14" t="s">
        <v>604</v>
      </c>
    </row>
    <row r="53" customFormat="false" ht="23.85" hidden="false" customHeight="false" outlineLevel="0" collapsed="false">
      <c r="A53" s="6" t="s">
        <v>420</v>
      </c>
      <c r="B53" s="6" t="s">
        <v>605</v>
      </c>
      <c r="C53" s="6" t="s">
        <v>606</v>
      </c>
      <c r="D53" s="6" t="s">
        <v>607</v>
      </c>
      <c r="E53" s="14" t="s">
        <v>608</v>
      </c>
      <c r="F53" s="6" t="s">
        <v>609</v>
      </c>
      <c r="G53" s="46" t="s">
        <v>610</v>
      </c>
      <c r="H53" s="6" t="s">
        <v>611</v>
      </c>
      <c r="I53" s="14" t="s">
        <v>612</v>
      </c>
    </row>
    <row r="54" customFormat="false" ht="23.85" hidden="false" customHeight="false" outlineLevel="0" collapsed="false">
      <c r="A54" s="6" t="s">
        <v>613</v>
      </c>
      <c r="B54" s="6" t="s">
        <v>448</v>
      </c>
      <c r="C54" s="6" t="s">
        <v>614</v>
      </c>
      <c r="D54" s="6" t="s">
        <v>615</v>
      </c>
      <c r="E54" s="14" t="s">
        <v>616</v>
      </c>
      <c r="F54" s="6" t="s">
        <v>452</v>
      </c>
      <c r="G54" s="44" t="s">
        <v>617</v>
      </c>
      <c r="H54" s="6" t="s">
        <v>618</v>
      </c>
      <c r="I54" s="14" t="s">
        <v>619</v>
      </c>
    </row>
    <row r="55" customFormat="false" ht="23.85" hidden="false" customHeight="false" outlineLevel="0" collapsed="false">
      <c r="A55" s="6" t="s">
        <v>620</v>
      </c>
      <c r="B55" s="6" t="s">
        <v>621</v>
      </c>
      <c r="C55" s="6" t="s">
        <v>622</v>
      </c>
      <c r="D55" s="6" t="s">
        <v>623</v>
      </c>
      <c r="E55" s="14" t="s">
        <v>624</v>
      </c>
      <c r="F55" s="6" t="s">
        <v>452</v>
      </c>
      <c r="G55" s="46" t="s">
        <v>625</v>
      </c>
      <c r="H55" s="6" t="s">
        <v>611</v>
      </c>
      <c r="I55" s="14" t="s">
        <v>626</v>
      </c>
    </row>
    <row r="56" customFormat="false" ht="23.85" hidden="false" customHeight="false" outlineLevel="0" collapsed="false">
      <c r="A56" s="6" t="s">
        <v>380</v>
      </c>
      <c r="B56" s="6" t="s">
        <v>627</v>
      </c>
      <c r="C56" s="6" t="s">
        <v>628</v>
      </c>
      <c r="D56" s="6" t="s">
        <v>629</v>
      </c>
      <c r="E56" s="14" t="s">
        <v>630</v>
      </c>
      <c r="F56" s="6" t="s">
        <v>452</v>
      </c>
      <c r="G56" s="45" t="s">
        <v>631</v>
      </c>
      <c r="H56" s="6" t="s">
        <v>572</v>
      </c>
      <c r="I56" s="14" t="s">
        <v>632</v>
      </c>
    </row>
    <row r="57" customFormat="false" ht="15" hidden="false" customHeight="false" outlineLevel="0" collapsed="false">
      <c r="A57" s="6" t="s">
        <v>633</v>
      </c>
      <c r="B57" s="6" t="s">
        <v>448</v>
      </c>
      <c r="C57" s="6" t="s">
        <v>634</v>
      </c>
      <c r="D57" s="6" t="s">
        <v>635</v>
      </c>
      <c r="E57" s="14" t="s">
        <v>636</v>
      </c>
      <c r="F57" s="6" t="s">
        <v>452</v>
      </c>
      <c r="G57" s="44" t="s">
        <v>637</v>
      </c>
      <c r="H57" s="6" t="s">
        <v>572</v>
      </c>
      <c r="I57" s="14" t="s">
        <v>638</v>
      </c>
    </row>
    <row r="58" customFormat="false" ht="35.05" hidden="false" customHeight="false" outlineLevel="0" collapsed="false">
      <c r="A58" s="6" t="s">
        <v>639</v>
      </c>
      <c r="B58" s="6" t="s">
        <v>640</v>
      </c>
      <c r="C58" s="6" t="s">
        <v>641</v>
      </c>
      <c r="D58" s="6" t="s">
        <v>642</v>
      </c>
      <c r="E58" s="14" t="s">
        <v>643</v>
      </c>
      <c r="F58" s="6" t="s">
        <v>644</v>
      </c>
      <c r="G58" s="47" t="s">
        <v>645</v>
      </c>
      <c r="H58" s="6" t="s">
        <v>646</v>
      </c>
      <c r="I58" s="14" t="s">
        <v>647</v>
      </c>
    </row>
    <row r="59" customFormat="false" ht="35.05" hidden="false" customHeight="false" outlineLevel="0" collapsed="false">
      <c r="A59" s="6" t="s">
        <v>648</v>
      </c>
      <c r="B59" s="6" t="s">
        <v>649</v>
      </c>
      <c r="C59" s="6" t="s">
        <v>641</v>
      </c>
      <c r="D59" s="6" t="s">
        <v>650</v>
      </c>
      <c r="E59" s="14" t="s">
        <v>651</v>
      </c>
      <c r="F59" s="6" t="s">
        <v>644</v>
      </c>
      <c r="G59" s="47" t="s">
        <v>645</v>
      </c>
      <c r="H59" s="6" t="s">
        <v>646</v>
      </c>
      <c r="I59" s="14" t="s">
        <v>647</v>
      </c>
    </row>
    <row r="60" customFormat="false" ht="35.05" hidden="false" customHeight="false" outlineLevel="0" collapsed="false">
      <c r="A60" s="6" t="s">
        <v>652</v>
      </c>
      <c r="B60" s="6" t="s">
        <v>640</v>
      </c>
      <c r="C60" s="6" t="s">
        <v>641</v>
      </c>
      <c r="D60" s="6" t="s">
        <v>653</v>
      </c>
      <c r="E60" s="14" t="s">
        <v>654</v>
      </c>
      <c r="F60" s="6" t="s">
        <v>644</v>
      </c>
      <c r="G60" s="47" t="s">
        <v>645</v>
      </c>
      <c r="H60" s="6" t="s">
        <v>646</v>
      </c>
      <c r="I60" s="14" t="s">
        <v>647</v>
      </c>
    </row>
    <row r="61" customFormat="false" ht="35.05" hidden="false" customHeight="false" outlineLevel="0" collapsed="false">
      <c r="A61" s="6" t="s">
        <v>655</v>
      </c>
      <c r="B61" s="6" t="s">
        <v>640</v>
      </c>
      <c r="C61" s="6" t="s">
        <v>641</v>
      </c>
      <c r="D61" s="6" t="s">
        <v>656</v>
      </c>
      <c r="E61" s="14" t="s">
        <v>657</v>
      </c>
      <c r="F61" s="6" t="s">
        <v>644</v>
      </c>
      <c r="G61" s="47" t="s">
        <v>645</v>
      </c>
      <c r="H61" s="6" t="s">
        <v>646</v>
      </c>
      <c r="I61" s="14" t="s">
        <v>647</v>
      </c>
    </row>
    <row r="62" customFormat="false" ht="23.85" hidden="false" customHeight="false" outlineLevel="0" collapsed="false">
      <c r="A62" s="6" t="s">
        <v>658</v>
      </c>
      <c r="B62" s="6" t="s">
        <v>659</v>
      </c>
      <c r="C62" s="6" t="s">
        <v>641</v>
      </c>
      <c r="D62" s="6" t="s">
        <v>660</v>
      </c>
      <c r="E62" s="14" t="s">
        <v>661</v>
      </c>
      <c r="F62" s="6" t="s">
        <v>644</v>
      </c>
      <c r="G62" s="46" t="s">
        <v>662</v>
      </c>
      <c r="H62" s="6" t="s">
        <v>611</v>
      </c>
      <c r="I62" s="14" t="s">
        <v>663</v>
      </c>
    </row>
    <row r="63" customFormat="false" ht="35.05" hidden="false" customHeight="false" outlineLevel="0" collapsed="false">
      <c r="A63" s="6" t="s">
        <v>664</v>
      </c>
      <c r="B63" s="6" t="s">
        <v>665</v>
      </c>
      <c r="C63" s="6" t="s">
        <v>641</v>
      </c>
      <c r="D63" s="6" t="s">
        <v>666</v>
      </c>
      <c r="E63" s="14" t="s">
        <v>667</v>
      </c>
      <c r="F63" s="6" t="s">
        <v>644</v>
      </c>
      <c r="G63" s="47" t="s">
        <v>668</v>
      </c>
      <c r="H63" s="6" t="s">
        <v>618</v>
      </c>
      <c r="I63" s="14" t="s">
        <v>669</v>
      </c>
    </row>
    <row r="65" customFormat="false" ht="15" hidden="false" customHeight="false" outlineLevel="0" collapsed="false">
      <c r="A65" s="41" t="s">
        <v>670</v>
      </c>
    </row>
    <row r="66" customFormat="false" ht="15" hidden="false" customHeight="false" outlineLevel="0" collapsed="false">
      <c r="A66" s="6" t="s">
        <v>671</v>
      </c>
      <c r="B66" s="6" t="n">
        <f aca="false">COUNTA(A5:A63)</f>
        <v>59</v>
      </c>
    </row>
    <row r="67" customFormat="false" ht="15" hidden="false" customHeight="false" outlineLevel="0" collapsed="false">
      <c r="A67" s="6" t="s">
        <v>672</v>
      </c>
      <c r="B67" s="6" t="n">
        <f aca="false">COUNTIF(G5:G63,"Accept*")</f>
        <v>48</v>
      </c>
    </row>
    <row r="68" customFormat="false" ht="15" hidden="false" customHeight="false" outlineLevel="0" collapsed="false">
      <c r="A68" s="6" t="s">
        <v>673</v>
      </c>
      <c r="B68" s="6" t="n">
        <f aca="false">COUNTIF(G5:G63,"Corroborating*")</f>
        <v>5</v>
      </c>
    </row>
    <row r="69" customFormat="false" ht="15" hidden="false" customHeight="false" outlineLevel="0" collapsed="false">
      <c r="A69" s="6" t="s">
        <v>674</v>
      </c>
      <c r="B69" s="6" t="n">
        <f aca="false">COUNTIF(G5:G63,"Partial*")</f>
        <v>1</v>
      </c>
    </row>
    <row r="70" customFormat="false" ht="15" hidden="false" customHeight="false" outlineLevel="0" collapsed="false">
      <c r="A70" s="6" t="s">
        <v>374</v>
      </c>
      <c r="B70" s="6" t="n">
        <f aca="false">COUNTIF(G5:G63,"Hypothesis*")</f>
        <v>1</v>
      </c>
    </row>
    <row r="71" customFormat="false" ht="15" hidden="false" customHeight="false" outlineLevel="0" collapsed="false">
      <c r="A71" s="6" t="s">
        <v>675</v>
      </c>
      <c r="B71" s="6" t="n">
        <f aca="false">COUNTIF(G5:G63,"Reject*")</f>
        <v>4</v>
      </c>
    </row>
    <row r="72" customFormat="false" ht="15" hidden="false" customHeight="false" outlineLevel="0" collapsed="false">
      <c r="A72" s="6" t="s">
        <v>676</v>
      </c>
      <c r="B72" s="6" t="n">
        <f aca="false">SUMPRODUCT(1/COUNTIF(D5:D63,D5:D63))</f>
        <v>59</v>
      </c>
    </row>
    <row r="73" customFormat="false" ht="15" hidden="false" customHeight="false" outlineLevel="0" collapsed="false">
      <c r="A73" s="48" t="s">
        <v>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1" min="10" style="0" width="10"/>
    <col collapsed="false" customWidth="true" hidden="false" outlineLevel="0" max="12" min="12" style="0" width="60"/>
  </cols>
  <sheetData>
    <row r="1" customFormat="false" ht="17.35" hidden="false" customHeight="false" outlineLevel="0" collapsed="false">
      <c r="A1" s="1" t="s">
        <v>678</v>
      </c>
    </row>
    <row r="2" customFormat="false" ht="15" hidden="false" customHeight="false" outlineLevel="0" collapsed="false">
      <c r="A2" s="12" t="s">
        <v>679</v>
      </c>
    </row>
    <row r="4" customFormat="false" ht="46.25" hidden="false" customHeight="false" outlineLevel="0" collapsed="false">
      <c r="A4" s="5" t="s">
        <v>680</v>
      </c>
      <c r="B4" s="5" t="s">
        <v>681</v>
      </c>
      <c r="C4" s="5" t="s">
        <v>682</v>
      </c>
      <c r="D4" s="5" t="s">
        <v>683</v>
      </c>
      <c r="E4" s="5" t="s">
        <v>684</v>
      </c>
      <c r="F4" s="5" t="s">
        <v>685</v>
      </c>
      <c r="G4" s="5" t="s">
        <v>686</v>
      </c>
      <c r="H4" s="5" t="s">
        <v>687</v>
      </c>
      <c r="I4" s="5" t="s">
        <v>688</v>
      </c>
    </row>
    <row r="5" customFormat="false" ht="30" hidden="false" customHeight="true" outlineLevel="0" collapsed="false">
      <c r="A5" s="26" t="s">
        <v>206</v>
      </c>
      <c r="B5" s="6" t="s">
        <v>689</v>
      </c>
      <c r="C5" s="18" t="n">
        <f aca="false">SUMPRODUCT((Network!$H$5:$H$14=A5)*(Network!$M$5:$M$14)^2)</f>
        <v>0.52</v>
      </c>
      <c r="D5" s="49" t="n">
        <f aca="false">IF(C5=0,"",1/C5)</f>
        <v>1.92307692307692</v>
      </c>
      <c r="E5" s="50" t="n">
        <v>1</v>
      </c>
      <c r="F5" s="50" t="n">
        <v>1</v>
      </c>
      <c r="G5" s="14" t="s">
        <v>690</v>
      </c>
      <c r="H5" s="51" t="n">
        <f aca="false">D5-MIN(E5:F5)</f>
        <v>0.923076923076923</v>
      </c>
      <c r="I5" s="14" t="s">
        <v>691</v>
      </c>
    </row>
    <row r="6" customFormat="false" ht="30" hidden="false" customHeight="true" outlineLevel="0" collapsed="false">
      <c r="A6" s="26" t="s">
        <v>215</v>
      </c>
      <c r="B6" s="6" t="s">
        <v>187</v>
      </c>
      <c r="C6" s="18" t="n">
        <f aca="false">SUMPRODUCT((Network!$H$5:$H$14=A6)*(Network!$M$5:$M$14)^2)</f>
        <v>0.58</v>
      </c>
      <c r="D6" s="49" t="n">
        <f aca="false">IF(C6=0,"",1/C6)</f>
        <v>1.72413793103448</v>
      </c>
      <c r="E6" s="50" t="n">
        <v>1</v>
      </c>
      <c r="F6" s="50" t="n">
        <v>1</v>
      </c>
      <c r="G6" s="14" t="s">
        <v>690</v>
      </c>
      <c r="H6" s="51" t="n">
        <f aca="false">D6-MIN(E6:F6)</f>
        <v>0.724137931034483</v>
      </c>
      <c r="I6" s="14" t="s">
        <v>692</v>
      </c>
    </row>
    <row r="7" customFormat="false" ht="30" hidden="false" customHeight="true" outlineLevel="0" collapsed="false">
      <c r="A7" s="26" t="s">
        <v>226</v>
      </c>
      <c r="B7" s="6" t="s">
        <v>693</v>
      </c>
      <c r="C7" s="18" t="n">
        <f aca="false">SUMPRODUCT((Network!$H$5:$H$14=A7)*(Network!$M$5:$M$14)^2)</f>
        <v>1</v>
      </c>
      <c r="D7" s="49" t="n">
        <f aca="false">IF(C7=0,"",1/C7)</f>
        <v>1</v>
      </c>
      <c r="E7" s="50" t="n">
        <v>1</v>
      </c>
      <c r="F7" s="50" t="n">
        <v>1</v>
      </c>
      <c r="G7" s="14" t="s">
        <v>694</v>
      </c>
      <c r="H7" s="51" t="n">
        <f aca="false">D7-MIN(E7:F7)</f>
        <v>0</v>
      </c>
      <c r="I7" s="14" t="s">
        <v>695</v>
      </c>
    </row>
    <row r="8" customFormat="false" ht="30" hidden="false" customHeight="true" outlineLevel="0" collapsed="false">
      <c r="A8" s="26" t="s">
        <v>234</v>
      </c>
      <c r="B8" s="6" t="s">
        <v>696</v>
      </c>
      <c r="C8" s="18" t="n">
        <f aca="false">SUMPRODUCT((Network!$H$5:$H$14=A8)*(Network!$M$5:$M$14)^2)</f>
        <v>1</v>
      </c>
      <c r="D8" s="49" t="n">
        <f aca="false">IF(C8=0,"",1/C8)</f>
        <v>1</v>
      </c>
      <c r="E8" s="50" t="n">
        <v>1</v>
      </c>
      <c r="F8" s="50" t="n">
        <v>1</v>
      </c>
      <c r="G8" s="14" t="s">
        <v>697</v>
      </c>
      <c r="H8" s="51" t="n">
        <f aca="false">D8-MIN(E8:F8)</f>
        <v>0</v>
      </c>
      <c r="I8" s="14" t="s">
        <v>698</v>
      </c>
    </row>
    <row r="9" customFormat="false" ht="30" hidden="false" customHeight="true" outlineLevel="0" collapsed="false">
      <c r="A9" s="26" t="s">
        <v>248</v>
      </c>
      <c r="B9" s="6" t="s">
        <v>186</v>
      </c>
      <c r="C9" s="18" t="n">
        <f aca="false">SUMPRODUCT((Network!$H$5:$H$14=A9)*(Network!$M$5:$M$14)^2)</f>
        <v>1</v>
      </c>
      <c r="D9" s="49" t="n">
        <f aca="false">IF(C9=0,"",1/C9)</f>
        <v>1</v>
      </c>
      <c r="E9" s="50" t="n">
        <v>1</v>
      </c>
      <c r="F9" s="50" t="n">
        <v>1</v>
      </c>
      <c r="G9" s="14" t="s">
        <v>699</v>
      </c>
      <c r="H9" s="51" t="n">
        <f aca="false">D9-MIN(E9:F9)</f>
        <v>0</v>
      </c>
      <c r="I9" s="14" t="s">
        <v>700</v>
      </c>
    </row>
    <row r="10" customFormat="false" ht="30" hidden="false" customHeight="true" outlineLevel="0" collapsed="false">
      <c r="A10" s="26" t="s">
        <v>241</v>
      </c>
      <c r="B10" s="6" t="s">
        <v>701</v>
      </c>
      <c r="C10" s="18" t="n">
        <f aca="false">SUMPRODUCT((Network!$H$5:$H$14=A10)*(Network!$M$5:$M$14)^2)</f>
        <v>1</v>
      </c>
      <c r="D10" s="49" t="n">
        <f aca="false">IF(C10=0,"",1/C10)</f>
        <v>1</v>
      </c>
      <c r="E10" s="50" t="n">
        <v>1</v>
      </c>
      <c r="F10" s="50" t="n">
        <v>1</v>
      </c>
      <c r="G10" s="14" t="s">
        <v>702</v>
      </c>
      <c r="H10" s="51" t="n">
        <f aca="false">D10-MIN(E10:F10)</f>
        <v>0</v>
      </c>
      <c r="I10" s="14" t="s">
        <v>703</v>
      </c>
    </row>
    <row r="11" customFormat="false" ht="30" hidden="false" customHeight="true" outlineLevel="0" collapsed="false">
      <c r="A11" s="26" t="s">
        <v>253</v>
      </c>
      <c r="B11" s="6" t="s">
        <v>188</v>
      </c>
      <c r="C11" s="18" t="n">
        <f aca="false">SUMPRODUCT((Network!$H$5:$H$14=A11)*(Network!$M$5:$M$14)^2)</f>
        <v>0.68</v>
      </c>
      <c r="D11" s="49" t="n">
        <f aca="false">IF(C11=0,"",1/C11)</f>
        <v>1.47058823529412</v>
      </c>
      <c r="E11" s="49" t="n">
        <f aca="false">D11</f>
        <v>1.47058823529412</v>
      </c>
      <c r="F11" s="50" t="n">
        <v>1</v>
      </c>
      <c r="G11" s="14" t="s">
        <v>704</v>
      </c>
      <c r="H11" s="51" t="n">
        <f aca="false">D11-MIN(E11:F11)</f>
        <v>0.470588235294117</v>
      </c>
      <c r="I11" s="14" t="s">
        <v>705</v>
      </c>
    </row>
    <row r="13" customFormat="false" ht="15" hidden="false" customHeight="false" outlineLevel="0" collapsed="false">
      <c r="A13" s="41" t="s">
        <v>706</v>
      </c>
    </row>
    <row r="14" customFormat="false" ht="46.25" hidden="false" customHeight="false" outlineLevel="0" collapsed="false">
      <c r="A14" s="5" t="s">
        <v>8</v>
      </c>
      <c r="B14" s="5" t="s">
        <v>707</v>
      </c>
      <c r="C14" s="5" t="s">
        <v>708</v>
      </c>
      <c r="D14" s="5" t="s">
        <v>709</v>
      </c>
      <c r="E14" s="5" t="s">
        <v>710</v>
      </c>
      <c r="F14" s="5" t="s">
        <v>711</v>
      </c>
      <c r="G14" s="5" t="s">
        <v>712</v>
      </c>
      <c r="H14" s="5" t="s">
        <v>73</v>
      </c>
      <c r="I14" s="5" t="s">
        <v>713</v>
      </c>
      <c r="J14" s="5" t="s">
        <v>714</v>
      </c>
      <c r="K14" s="5" t="s">
        <v>715</v>
      </c>
      <c r="L14" s="5" t="s">
        <v>688</v>
      </c>
    </row>
    <row r="15" customFormat="false" ht="23.85" hidden="false" customHeight="false" outlineLevel="0" collapsed="false">
      <c r="A15" s="26" t="s">
        <v>265</v>
      </c>
      <c r="B15" s="6" t="n">
        <f aca="false">COUNTIF(Scorecard!$F$6:$F$30,A15)</f>
        <v>5</v>
      </c>
      <c r="C15" s="14" t="s">
        <v>716</v>
      </c>
      <c r="D15" s="43" t="n">
        <f aca="false">_xlfn.MAXIFS(Scorecard!$AE$6:$AE$30,Scorecard!$F$6:$F$30,$A15)</f>
        <v>1</v>
      </c>
      <c r="E15" s="43" t="n">
        <f aca="false">_xlfn.MAXIFS(Scorecard!$AF$6:$AF$30,Scorecard!$F$6:$F$30,$A15)</f>
        <v>1</v>
      </c>
      <c r="F15" s="43" t="n">
        <f aca="false">_xlfn.MAXIFS(Scorecard!$AG$6:$AG$30,Scorecard!$F$6:$F$30,$A15)</f>
        <v>1</v>
      </c>
      <c r="G15" s="52" t="n">
        <f aca="false">D15*Assumptions!$B$5+E15*Assumptions!$B$6+F15*Assumptions!$B$7</f>
        <v>1560</v>
      </c>
      <c r="H15" s="21" t="n">
        <f aca="false">G15/Assumptions!$B$8</f>
        <v>1</v>
      </c>
      <c r="I15" s="22" t="n">
        <f aca="false">_xlfn.MAXIFS(Scorecard!$AE$6:$AE$30,Scorecard!$F$6:$F$30,$A15,Scorecard!$AV$6:$AV$30,1)*Assumptions!$B$5+_xlfn.MAXIFS(Scorecard!$AF$6:$AF$30,Scorecard!$F$6:$F$30,$A15,Scorecard!$AV$6:$AV$30,1)*Assumptions!$B$6+_xlfn.MAXIFS(Scorecard!$AG$6:$AG$30,Scorecard!$F$6:$F$30,$A15,Scorecard!$AV$6:$AV$30,1)*Assumptions!$B$7</f>
        <v>1560</v>
      </c>
      <c r="J15" s="53" t="n">
        <f aca="false">IFERROR(INDEX(Data!$H$5:$H$34,MATCH(INDEX(Data!$A$38:$A$67,MATCH($A15,Data!$I$38:$I$67,0)),Data!$A$5:$A$34,0)),"—")</f>
        <v>82</v>
      </c>
      <c r="K15" s="53" t="n">
        <f aca="false">IFERROR(INDEX(Data!$I$5:$I$34,MATCH(INDEX(Data!$A$38:$A$67,MATCH($A15,Data!$I$38:$I$67,0)),Data!$A$5:$A$34,0)),"—")</f>
        <v>76</v>
      </c>
      <c r="L15" s="14" t="s">
        <v>717</v>
      </c>
    </row>
    <row r="16" customFormat="false" ht="15" hidden="false" customHeight="false" outlineLevel="0" collapsed="false">
      <c r="A16" s="26" t="s">
        <v>209</v>
      </c>
      <c r="B16" s="6" t="n">
        <f aca="false">COUNTIF(Scorecard!$F$6:$F$30,A16)</f>
        <v>3</v>
      </c>
      <c r="C16" s="14" t="s">
        <v>718</v>
      </c>
      <c r="D16" s="43" t="n">
        <f aca="false">_xlfn.MAXIFS(Scorecard!$AE$6:$AE$30,Scorecard!$F$6:$F$30,$A16)</f>
        <v>1</v>
      </c>
      <c r="E16" s="43" t="n">
        <f aca="false">_xlfn.MAXIFS(Scorecard!$AF$6:$AF$30,Scorecard!$F$6:$F$30,$A16)</f>
        <v>0.7</v>
      </c>
      <c r="F16" s="43" t="n">
        <f aca="false">_xlfn.MAXIFS(Scorecard!$AG$6:$AG$30,Scorecard!$F$6:$F$30,$A16)</f>
        <v>0.6</v>
      </c>
      <c r="G16" s="52" t="n">
        <f aca="false">D16*Assumptions!$B$5+E16*Assumptions!$B$6+F16*Assumptions!$B$7</f>
        <v>1237.6</v>
      </c>
      <c r="H16" s="21" t="n">
        <f aca="false">G16/Assumptions!$B$8</f>
        <v>0.793333333333333</v>
      </c>
      <c r="I16" s="22" t="n">
        <f aca="false">_xlfn.MAXIFS(Scorecard!$AE$6:$AE$30,Scorecard!$F$6:$F$30,$A16,Scorecard!$AV$6:$AV$30,1)*Assumptions!$B$5+_xlfn.MAXIFS(Scorecard!$AF$6:$AF$30,Scorecard!$F$6:$F$30,$A16,Scorecard!$AV$6:$AV$30,1)*Assumptions!$B$6+_xlfn.MAXIFS(Scorecard!$AG$6:$AG$30,Scorecard!$F$6:$F$30,$A16,Scorecard!$AV$6:$AV$30,1)*Assumptions!$B$7</f>
        <v>1237.6</v>
      </c>
      <c r="J16" s="53" t="n">
        <f aca="false">IFERROR(INDEX(Data!$H$5:$H$34,MATCH(INDEX(Data!$A$38:$A$67,MATCH($A16,Data!$I$38:$I$67,0)),Data!$A$5:$A$34,0)),"—")</f>
        <v>27</v>
      </c>
      <c r="K16" s="53" t="n">
        <f aca="false">IFERROR(INDEX(Data!$I$5:$I$34,MATCH(INDEX(Data!$A$38:$A$67,MATCH($A16,Data!$I$38:$I$67,0)),Data!$A$5:$A$34,0)),"—")</f>
        <v>30</v>
      </c>
      <c r="L16" s="14" t="s">
        <v>719</v>
      </c>
    </row>
    <row r="17" customFormat="false" ht="15" hidden="false" customHeight="false" outlineLevel="0" collapsed="false">
      <c r="A17" s="26" t="s">
        <v>237</v>
      </c>
      <c r="B17" s="6" t="n">
        <f aca="false">COUNTIF(Scorecard!$F$6:$F$30,A17)</f>
        <v>3</v>
      </c>
      <c r="C17" s="14" t="s">
        <v>720</v>
      </c>
      <c r="D17" s="43" t="n">
        <f aca="false">_xlfn.MAXIFS(Scorecard!$AE$6:$AE$30,Scorecard!$F$6:$F$30,$A17)</f>
        <v>1</v>
      </c>
      <c r="E17" s="43" t="n">
        <f aca="false">_xlfn.MAXIFS(Scorecard!$AF$6:$AF$30,Scorecard!$F$6:$F$30,$A17)</f>
        <v>1</v>
      </c>
      <c r="F17" s="43" t="n">
        <f aca="false">_xlfn.MAXIFS(Scorecard!$AG$6:$AG$30,Scorecard!$F$6:$F$30,$A17)</f>
        <v>0</v>
      </c>
      <c r="G17" s="52" t="n">
        <f aca="false">D17*Assumptions!$B$5+E17*Assumptions!$B$6+F17*Assumptions!$B$7</f>
        <v>1144</v>
      </c>
      <c r="H17" s="21" t="n">
        <f aca="false">G17/Assumptions!$B$8</f>
        <v>0.733333333333333</v>
      </c>
      <c r="I17" s="22" t="n">
        <f aca="false">_xlfn.MAXIFS(Scorecard!$AE$6:$AE$30,Scorecard!$F$6:$F$30,$A17,Scorecard!$AV$6:$AV$30,1)*Assumptions!$B$5+_xlfn.MAXIFS(Scorecard!$AF$6:$AF$30,Scorecard!$F$6:$F$30,$A17,Scorecard!$AV$6:$AV$30,1)*Assumptions!$B$6+_xlfn.MAXIFS(Scorecard!$AG$6:$AG$30,Scorecard!$F$6:$F$30,$A17,Scorecard!$AV$6:$AV$30,1)*Assumptions!$B$7</f>
        <v>1144</v>
      </c>
      <c r="J17" s="53" t="n">
        <f aca="false">IFERROR(INDEX(Data!$H$5:$H$34,MATCH(INDEX(Data!$A$38:$A$67,MATCH($A17,Data!$I$38:$I$67,0)),Data!$A$5:$A$34,0)),"—")</f>
        <v>19</v>
      </c>
      <c r="K17" s="53" t="n">
        <f aca="false">IFERROR(INDEX(Data!$I$5:$I$34,MATCH(INDEX(Data!$A$38:$A$67,MATCH($A17,Data!$I$38:$I$67,0)),Data!$A$5:$A$34,0)),"—")</f>
        <v>26</v>
      </c>
      <c r="L17" s="14" t="s">
        <v>721</v>
      </c>
    </row>
    <row r="18" customFormat="false" ht="15" hidden="false" customHeight="false" outlineLevel="0" collapsed="false">
      <c r="A18" s="26" t="s">
        <v>229</v>
      </c>
      <c r="B18" s="6" t="n">
        <f aca="false">COUNTIF(Scorecard!$F$6:$F$30,A18)</f>
        <v>5</v>
      </c>
      <c r="C18" s="14" t="s">
        <v>722</v>
      </c>
      <c r="D18" s="43" t="n">
        <f aca="false">_xlfn.MAXIFS(Scorecard!$AE$6:$AE$30,Scorecard!$F$6:$F$30,$A18)</f>
        <v>1</v>
      </c>
      <c r="E18" s="43" t="n">
        <f aca="false">_xlfn.MAXIFS(Scorecard!$AF$6:$AF$30,Scorecard!$F$6:$F$30,$A18)</f>
        <v>1</v>
      </c>
      <c r="F18" s="43" t="n">
        <f aca="false">_xlfn.MAXIFS(Scorecard!$AG$6:$AG$30,Scorecard!$F$6:$F$30,$A18)</f>
        <v>1</v>
      </c>
      <c r="G18" s="52" t="n">
        <f aca="false">D18*Assumptions!$B$5+E18*Assumptions!$B$6+F18*Assumptions!$B$7</f>
        <v>1560</v>
      </c>
      <c r="H18" s="21" t="n">
        <f aca="false">G18/Assumptions!$B$8</f>
        <v>1</v>
      </c>
      <c r="I18" s="22" t="n">
        <f aca="false">_xlfn.MAXIFS(Scorecard!$AE$6:$AE$30,Scorecard!$F$6:$F$30,$A18,Scorecard!$AV$6:$AV$30,1)*Assumptions!$B$5+_xlfn.MAXIFS(Scorecard!$AF$6:$AF$30,Scorecard!$F$6:$F$30,$A18,Scorecard!$AV$6:$AV$30,1)*Assumptions!$B$6+_xlfn.MAXIFS(Scorecard!$AG$6:$AG$30,Scorecard!$F$6:$F$30,$A18,Scorecard!$AV$6:$AV$30,1)*Assumptions!$B$7</f>
        <v>1560</v>
      </c>
      <c r="J18" s="53" t="n">
        <f aca="false">IFERROR(INDEX(Data!$H$5:$H$34,MATCH(INDEX(Data!$A$38:$A$67,MATCH($A18,Data!$I$38:$I$67,0)),Data!$A$5:$A$34,0)),"—")</f>
        <v>58</v>
      </c>
      <c r="K18" s="53" t="n">
        <f aca="false">IFERROR(INDEX(Data!$I$5:$I$34,MATCH(INDEX(Data!$A$38:$A$67,MATCH($A18,Data!$I$38:$I$67,0)),Data!$A$5:$A$34,0)),"—")</f>
        <v>62</v>
      </c>
      <c r="L18" s="14" t="s">
        <v>723</v>
      </c>
    </row>
    <row r="19" customFormat="false" ht="23.85" hidden="false" customHeight="false" outlineLevel="0" collapsed="false">
      <c r="A19" s="26" t="s">
        <v>220</v>
      </c>
      <c r="B19" s="6" t="n">
        <f aca="false">COUNTIF(Scorecard!$F$6:$F$30,A19)</f>
        <v>3</v>
      </c>
      <c r="C19" s="14" t="s">
        <v>724</v>
      </c>
      <c r="D19" s="43" t="n">
        <f aca="false">_xlfn.MAXIFS(Scorecard!$AE$6:$AE$30,Scorecard!$F$6:$F$30,$A19)</f>
        <v>1</v>
      </c>
      <c r="E19" s="43" t="n">
        <f aca="false">_xlfn.MAXIFS(Scorecard!$AF$6:$AF$30,Scorecard!$F$6:$F$30,$A19)</f>
        <v>1</v>
      </c>
      <c r="F19" s="43" t="n">
        <f aca="false">_xlfn.MAXIFS(Scorecard!$AG$6:$AG$30,Scorecard!$F$6:$F$30,$A19)</f>
        <v>1</v>
      </c>
      <c r="G19" s="52" t="n">
        <f aca="false">D19*Assumptions!$B$5+E19*Assumptions!$B$6+F19*Assumptions!$B$7</f>
        <v>1560</v>
      </c>
      <c r="H19" s="21" t="n">
        <f aca="false">G19/Assumptions!$B$8</f>
        <v>1</v>
      </c>
      <c r="I19" s="22" t="n">
        <f aca="false">_xlfn.MAXIFS(Scorecard!$AE$6:$AE$30,Scorecard!$F$6:$F$30,$A19,Scorecard!$AV$6:$AV$30,1)*Assumptions!$B$5+_xlfn.MAXIFS(Scorecard!$AF$6:$AF$30,Scorecard!$F$6:$F$30,$A19,Scorecard!$AV$6:$AV$30,1)*Assumptions!$B$6+_xlfn.MAXIFS(Scorecard!$AG$6:$AG$30,Scorecard!$F$6:$F$30,$A19,Scorecard!$AV$6:$AV$30,1)*Assumptions!$B$7</f>
        <v>572</v>
      </c>
      <c r="J19" s="53" t="n">
        <f aca="false">IFERROR(INDEX(Data!$H$5:$H$34,MATCH(INDEX(Data!$A$38:$A$67,MATCH($A19,Data!$I$38:$I$67,0)),Data!$A$5:$A$34,0)),"—")</f>
        <v>31</v>
      </c>
      <c r="K19" s="53" t="n">
        <f aca="false">IFERROR(INDEX(Data!$I$5:$I$34,MATCH(INDEX(Data!$A$38:$A$67,MATCH($A19,Data!$I$38:$I$67,0)),Data!$A$5:$A$34,0)),"—")</f>
        <v>23</v>
      </c>
      <c r="L19" s="14" t="s">
        <v>725</v>
      </c>
    </row>
    <row r="20" customFormat="false" ht="15" hidden="false" customHeight="false" outlineLevel="0" collapsed="false">
      <c r="A20" s="26" t="s">
        <v>244</v>
      </c>
      <c r="B20" s="6" t="n">
        <f aca="false">COUNTIF(Scorecard!$F$6:$F$30,A20)</f>
        <v>4</v>
      </c>
      <c r="C20" s="14" t="s">
        <v>726</v>
      </c>
      <c r="D20" s="43" t="n">
        <f aca="false">_xlfn.MAXIFS(Scorecard!$AE$6:$AE$30,Scorecard!$F$6:$F$30,$A20)</f>
        <v>1</v>
      </c>
      <c r="E20" s="43" t="n">
        <f aca="false">_xlfn.MAXIFS(Scorecard!$AF$6:$AF$30,Scorecard!$F$6:$F$30,$A20)</f>
        <v>1</v>
      </c>
      <c r="F20" s="43" t="n">
        <f aca="false">_xlfn.MAXIFS(Scorecard!$AG$6:$AG$30,Scorecard!$F$6:$F$30,$A20)</f>
        <v>1</v>
      </c>
      <c r="G20" s="52" t="n">
        <f aca="false">D20*Assumptions!$B$5+E20*Assumptions!$B$6+F20*Assumptions!$B$7</f>
        <v>1560</v>
      </c>
      <c r="H20" s="21" t="n">
        <f aca="false">G20/Assumptions!$B$8</f>
        <v>1</v>
      </c>
      <c r="I20" s="22" t="n">
        <f aca="false">_xlfn.MAXIFS(Scorecard!$AE$6:$AE$30,Scorecard!$F$6:$F$30,$A20,Scorecard!$AV$6:$AV$30,1)*Assumptions!$B$5+_xlfn.MAXIFS(Scorecard!$AF$6:$AF$30,Scorecard!$F$6:$F$30,$A20,Scorecard!$AV$6:$AV$30,1)*Assumptions!$B$6+_xlfn.MAXIFS(Scorecard!$AG$6:$AG$30,Scorecard!$F$6:$F$30,$A20,Scorecard!$AV$6:$AV$30,1)*Assumptions!$B$7</f>
        <v>936</v>
      </c>
      <c r="J20" s="53" t="n">
        <f aca="false">IFERROR(INDEX(Data!$H$5:$H$34,MATCH(INDEX(Data!$A$38:$A$67,MATCH($A20,Data!$I$38:$I$67,0)),Data!$A$5:$A$34,0)),"—")</f>
        <v>67</v>
      </c>
      <c r="K20" s="53" t="n">
        <f aca="false">IFERROR(INDEX(Data!$I$5:$I$34,MATCH(INDEX(Data!$A$38:$A$67,MATCH($A20,Data!$I$38:$I$67,0)),Data!$A$5:$A$34,0)),"—")</f>
        <v>59</v>
      </c>
      <c r="L20" s="14" t="s">
        <v>727</v>
      </c>
    </row>
    <row r="21" customFormat="false" ht="23.85" hidden="false" customHeight="false" outlineLevel="0" collapsed="false">
      <c r="A21" s="26" t="s">
        <v>406</v>
      </c>
      <c r="B21" s="6" t="n">
        <f aca="false">COUNTIF(Scorecard!$F$6:$F$30,A21)</f>
        <v>0</v>
      </c>
      <c r="C21" s="14" t="s">
        <v>728</v>
      </c>
      <c r="D21" s="43" t="n">
        <f aca="false">_xlfn.MAXIFS(Scorecard!$AE$6:$AE$30,Scorecard!$F$6:$F$30,$A21)</f>
        <v>0</v>
      </c>
      <c r="E21" s="43" t="n">
        <f aca="false">_xlfn.MAXIFS(Scorecard!$AF$6:$AF$30,Scorecard!$F$6:$F$30,$A21)</f>
        <v>0</v>
      </c>
      <c r="F21" s="43" t="n">
        <f aca="false">_xlfn.MAXIFS(Scorecard!$AG$6:$AG$30,Scorecard!$F$6:$F$30,$A21)</f>
        <v>0</v>
      </c>
      <c r="G21" s="52" t="n">
        <f aca="false">D21*Assumptions!$B$5+E21*Assumptions!$B$6+F21*Assumptions!$B$7</f>
        <v>0</v>
      </c>
      <c r="H21" s="21" t="n">
        <f aca="false">G21/Assumptions!$B$8</f>
        <v>0</v>
      </c>
      <c r="I21" s="22" t="n">
        <f aca="false">_xlfn.MAXIFS(Scorecard!$AE$6:$AE$30,Scorecard!$F$6:$F$30,$A21,Scorecard!$AV$6:$AV$30,1)*Assumptions!$B$5+_xlfn.MAXIFS(Scorecard!$AF$6:$AF$30,Scorecard!$F$6:$F$30,$A21,Scorecard!$AV$6:$AV$30,1)*Assumptions!$B$6+_xlfn.MAXIFS(Scorecard!$AG$6:$AG$30,Scorecard!$F$6:$F$30,$A21,Scorecard!$AV$6:$AV$30,1)*Assumptions!$B$7</f>
        <v>0</v>
      </c>
      <c r="J21" s="53" t="n">
        <f aca="false">IFERROR(INDEX(Data!$H$5:$H$34,MATCH(INDEX(Data!$A$38:$A$67,MATCH($A21,Data!$I$38:$I$67,0)),Data!$A$5:$A$34,0)),"—")</f>
        <v>34</v>
      </c>
      <c r="K21" s="53" t="n">
        <f aca="false">IFERROR(INDEX(Data!$I$5:$I$34,MATCH(INDEX(Data!$A$38:$A$67,MATCH($A21,Data!$I$38:$I$67,0)),Data!$A$5:$A$34,0)),"—")</f>
        <v>36</v>
      </c>
      <c r="L21" s="14" t="s">
        <v>729</v>
      </c>
    </row>
    <row r="22" customFormat="false" ht="15" hidden="false" customHeight="false" outlineLevel="0" collapsed="false">
      <c r="A22" s="26" t="s">
        <v>355</v>
      </c>
      <c r="B22" s="6" t="n">
        <f aca="false">COUNTIF(Scorecard!$F$6:$F$30,A22)</f>
        <v>1</v>
      </c>
      <c r="C22" s="14" t="s">
        <v>730</v>
      </c>
      <c r="D22" s="43" t="n">
        <f aca="false">_xlfn.MAXIFS(Scorecard!$AE$6:$AE$30,Scorecard!$F$6:$F$30,$A22)</f>
        <v>1</v>
      </c>
      <c r="E22" s="43" t="n">
        <f aca="false">_xlfn.MAXIFS(Scorecard!$AF$6:$AF$30,Scorecard!$F$6:$F$30,$A22)</f>
        <v>1</v>
      </c>
      <c r="F22" s="43" t="n">
        <f aca="false">_xlfn.MAXIFS(Scorecard!$AG$6:$AG$30,Scorecard!$F$6:$F$30,$A22)</f>
        <v>1</v>
      </c>
      <c r="G22" s="52" t="n">
        <f aca="false">D22*Assumptions!$B$5+E22*Assumptions!$B$6+F22*Assumptions!$B$7</f>
        <v>1560</v>
      </c>
      <c r="H22" s="21" t="n">
        <f aca="false">G22/Assumptions!$B$8</f>
        <v>1</v>
      </c>
      <c r="I22" s="22" t="n">
        <f aca="false">_xlfn.MAXIFS(Scorecard!$AE$6:$AE$30,Scorecard!$F$6:$F$30,$A22,Scorecard!$AV$6:$AV$30,1)*Assumptions!$B$5+_xlfn.MAXIFS(Scorecard!$AF$6:$AF$30,Scorecard!$F$6:$F$30,$A22,Scorecard!$AV$6:$AV$30,1)*Assumptions!$B$6+_xlfn.MAXIFS(Scorecard!$AG$6:$AG$30,Scorecard!$F$6:$F$30,$A22,Scorecard!$AV$6:$AV$30,1)*Assumptions!$B$7</f>
        <v>0</v>
      </c>
      <c r="J22" s="53" t="n">
        <f aca="false">IFERROR(INDEX(Data!$H$5:$H$34,MATCH(INDEX(Data!$A$38:$A$67,MATCH($A22,Data!$I$38:$I$67,0)),Data!$A$5:$A$34,0)),"—")</f>
        <v>39</v>
      </c>
      <c r="K22" s="53" t="n">
        <f aca="false">IFERROR(INDEX(Data!$I$5:$I$34,MATCH(INDEX(Data!$A$38:$A$67,MATCH($A22,Data!$I$38:$I$67,0)),Data!$A$5:$A$34,0)),"—")</f>
        <v>47</v>
      </c>
      <c r="L22" s="14" t="s">
        <v>731</v>
      </c>
    </row>
    <row r="24" customFormat="false" ht="39.75" hidden="false" customHeight="true" outlineLevel="0" collapsed="false">
      <c r="A24" s="54" t="s">
        <v>732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</row>
  </sheetData>
  <mergeCells count="1">
    <mergeCell ref="A24:L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1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40"/>
    <col collapsed="false" customWidth="true" hidden="false" outlineLevel="0" max="9" min="9" style="0" width="30"/>
    <col collapsed="false" customWidth="true" hidden="false" outlineLevel="0" max="10" min="10" style="0" width="10"/>
    <col collapsed="false" customWidth="true" hidden="false" outlineLevel="0" max="12" min="11" style="0" width="8"/>
    <col collapsed="false" customWidth="true" hidden="false" outlineLevel="0" max="13" min="13" style="0" width="7"/>
    <col collapsed="false" customWidth="true" hidden="false" outlineLevel="0" max="14" min="14" style="0" width="8"/>
    <col collapsed="false" customWidth="true" hidden="false" outlineLevel="0" max="15" min="15" style="0" width="7"/>
    <col collapsed="false" customWidth="true" hidden="false" outlineLevel="0" max="16" min="16" style="0" width="8"/>
    <col collapsed="false" customWidth="true" hidden="false" outlineLevel="0" max="17" min="17" style="0" width="16"/>
    <col collapsed="false" customWidth="true" hidden="false" outlineLevel="0" max="18" min="18" style="0" width="40"/>
    <col collapsed="false" customWidth="true" hidden="false" outlineLevel="0" max="19" min="19" style="0" width="46"/>
    <col collapsed="false" customWidth="true" hidden="false" outlineLevel="0" max="20" min="20" style="0" width="30"/>
    <col collapsed="false" customWidth="true" hidden="false" outlineLevel="0" max="21" min="21" style="0" width="16"/>
    <col collapsed="false" customWidth="true" hidden="false" outlineLevel="0" max="22" min="22" style="0" width="30"/>
  </cols>
  <sheetData>
    <row r="1" customFormat="false" ht="17.35" hidden="false" customHeight="false" outlineLevel="0" collapsed="false">
      <c r="A1" s="1" t="s">
        <v>733</v>
      </c>
    </row>
    <row r="2" customFormat="false" ht="15" hidden="false" customHeight="false" outlineLevel="0" collapsed="false">
      <c r="A2" s="12" t="s">
        <v>734</v>
      </c>
    </row>
    <row r="4" customFormat="false" ht="23.85" hidden="false" customHeight="false" outlineLevel="0" collapsed="false">
      <c r="A4" s="5" t="s">
        <v>735</v>
      </c>
      <c r="B4" s="5" t="s">
        <v>736</v>
      </c>
      <c r="C4" s="5" t="s">
        <v>737</v>
      </c>
      <c r="D4" s="5" t="s">
        <v>738</v>
      </c>
      <c r="E4" s="5" t="s">
        <v>441</v>
      </c>
      <c r="F4" s="5" t="s">
        <v>739</v>
      </c>
      <c r="G4" s="5" t="s">
        <v>740</v>
      </c>
      <c r="H4" s="5" t="s">
        <v>741</v>
      </c>
      <c r="I4" s="5" t="s">
        <v>742</v>
      </c>
      <c r="J4" s="5" t="s">
        <v>743</v>
      </c>
      <c r="K4" s="5" t="s">
        <v>744</v>
      </c>
      <c r="L4" s="5" t="s">
        <v>745</v>
      </c>
      <c r="M4" s="5" t="s">
        <v>746</v>
      </c>
      <c r="N4" s="5" t="s">
        <v>747</v>
      </c>
      <c r="O4" s="5" t="s">
        <v>748</v>
      </c>
      <c r="P4" s="5" t="s">
        <v>749</v>
      </c>
      <c r="Q4" s="5" t="s">
        <v>750</v>
      </c>
      <c r="R4" s="5" t="s">
        <v>751</v>
      </c>
      <c r="S4" s="5" t="s">
        <v>752</v>
      </c>
      <c r="T4" s="5" t="s">
        <v>753</v>
      </c>
      <c r="U4" s="5" t="s">
        <v>754</v>
      </c>
      <c r="V4" s="5" t="s">
        <v>755</v>
      </c>
    </row>
    <row r="5" customFormat="false" ht="150" hidden="false" customHeight="true" outlineLevel="0" collapsed="false">
      <c r="A5" s="26" t="s">
        <v>756</v>
      </c>
      <c r="B5" s="55" t="n">
        <v>45923</v>
      </c>
      <c r="C5" s="55" t="n">
        <v>45923</v>
      </c>
      <c r="D5" s="14" t="s">
        <v>757</v>
      </c>
      <c r="E5" s="6" t="s">
        <v>758</v>
      </c>
      <c r="F5" s="14" t="s">
        <v>759</v>
      </c>
      <c r="G5" s="6" t="str">
        <f aca="false">IF(B5-C5&gt;STALE_DAYS,"STALE – archived event","Current")</f>
        <v>Current</v>
      </c>
      <c r="H5" s="14" t="s">
        <v>760</v>
      </c>
      <c r="I5" s="14" t="s">
        <v>761</v>
      </c>
      <c r="J5" s="6" t="s">
        <v>121</v>
      </c>
      <c r="K5" s="56" t="n">
        <v>0.7</v>
      </c>
      <c r="L5" s="56" t="n">
        <v>1</v>
      </c>
      <c r="M5" s="56" t="n">
        <v>0.8</v>
      </c>
      <c r="N5" s="43" t="n">
        <f aca="false">INDEX(Scorecard!$AI$6:$AI$30,MATCH(J5,Scorecard!$A$6:$A$30,0))</f>
        <v>1</v>
      </c>
      <c r="O5" s="49" t="n">
        <f aca="false">IF(J5="",0.75,0.5+INDEX(Scorecard!$AD$6:$AD$30,MATCH(J5,Scorecard!$A$6:$A$30,0))/200)</f>
        <v>0.752016666666667</v>
      </c>
      <c r="P5" s="20" t="n">
        <f aca="false">IF(G5&lt;&gt;"Current",0,100*K5*L5*M5*N5*O5)</f>
        <v>42.1129333333333</v>
      </c>
      <c r="Q5" s="26" t="str">
        <f aca="false">IF(LEFT(F5,9)="DUPLICATE","MERGED into EV-001",IF(G5&lt;&gt;"Current","SUPPRESS – stale",IF(M5=0,"SUPPRESS – wrong entity",IF(P5&gt;=ALERT_HIGH,"HIGH",IF(P5&gt;=ALERT_MEDIUM,"MEDIUM",IF(P5&gt;=ALERT_LOW,"LOW – verify","LOG only"))))))</f>
        <v>HIGH</v>
      </c>
      <c r="R5" s="14" t="s">
        <v>762</v>
      </c>
      <c r="S5" s="14" t="s">
        <v>763</v>
      </c>
      <c r="T5" s="14" t="s">
        <v>764</v>
      </c>
      <c r="U5" s="14" t="s">
        <v>765</v>
      </c>
      <c r="V5" s="14" t="s">
        <v>766</v>
      </c>
    </row>
    <row r="6" customFormat="false" ht="150" hidden="false" customHeight="true" outlineLevel="0" collapsed="false">
      <c r="A6" s="26" t="s">
        <v>767</v>
      </c>
      <c r="B6" s="55" t="n">
        <v>45923</v>
      </c>
      <c r="C6" s="55" t="n">
        <v>45923</v>
      </c>
      <c r="D6" s="14" t="s">
        <v>768</v>
      </c>
      <c r="E6" s="6" t="s">
        <v>758</v>
      </c>
      <c r="F6" s="14" t="s">
        <v>769</v>
      </c>
      <c r="G6" s="6" t="str">
        <f aca="false">IF(B6-C6&gt;STALE_DAYS,"STALE – archived event","Current")</f>
        <v>Current</v>
      </c>
      <c r="H6" s="14" t="s">
        <v>770</v>
      </c>
      <c r="I6" s="14" t="s">
        <v>771</v>
      </c>
      <c r="J6" s="6"/>
      <c r="K6" s="56" t="n">
        <v>0.7</v>
      </c>
      <c r="L6" s="56" t="n">
        <v>0</v>
      </c>
      <c r="M6" s="56" t="n">
        <v>0.8</v>
      </c>
      <c r="N6" s="42" t="n">
        <v>0</v>
      </c>
      <c r="O6" s="49" t="n">
        <f aca="false">IF(J6="",0.75,0.5+INDEX(Scorecard!$AD$6:$AD$30,MATCH(J6,Scorecard!$A$6:$A$30,0))/200)</f>
        <v>0.75</v>
      </c>
      <c r="P6" s="20" t="n">
        <f aca="false">IF(G6&lt;&gt;"Current",0,100*K6*L6*M6*N6*O6)</f>
        <v>0</v>
      </c>
      <c r="Q6" s="26" t="str">
        <f aca="false">IF(LEFT(F6,9)="DUPLICATE","MERGED into EV-001",IF(G6&lt;&gt;"Current","SUPPRESS – stale",IF(M6=0,"SUPPRESS – wrong entity",IF(P6&gt;=ALERT_HIGH,"HIGH",IF(P6&gt;=ALERT_MEDIUM,"MEDIUM",IF(P6&gt;=ALERT_LOW,"LOW – verify","LOG only"))))))</f>
        <v>MERGED into EV-001</v>
      </c>
      <c r="R6" s="14" t="s">
        <v>772</v>
      </c>
      <c r="S6" s="14" t="s">
        <v>773</v>
      </c>
      <c r="T6" s="14" t="s">
        <v>375</v>
      </c>
      <c r="U6" s="14" t="s">
        <v>774</v>
      </c>
      <c r="V6" s="14" t="s">
        <v>375</v>
      </c>
    </row>
    <row r="7" customFormat="false" ht="150" hidden="false" customHeight="true" outlineLevel="0" collapsed="false">
      <c r="A7" s="26" t="s">
        <v>775</v>
      </c>
      <c r="B7" s="55" t="n">
        <v>45924</v>
      </c>
      <c r="C7" s="55" t="n">
        <v>45924</v>
      </c>
      <c r="D7" s="14" t="s">
        <v>776</v>
      </c>
      <c r="E7" s="6" t="s">
        <v>777</v>
      </c>
      <c r="F7" s="14" t="s">
        <v>778</v>
      </c>
      <c r="G7" s="6" t="str">
        <f aca="false">IF(B7-C7&gt;STALE_DAYS,"STALE – archived event","Current")</f>
        <v>Current</v>
      </c>
      <c r="H7" s="14" t="s">
        <v>779</v>
      </c>
      <c r="I7" s="14" t="s">
        <v>780</v>
      </c>
      <c r="J7" s="6" t="s">
        <v>142</v>
      </c>
      <c r="K7" s="56" t="n">
        <v>0.7</v>
      </c>
      <c r="L7" s="56" t="n">
        <v>0.8</v>
      </c>
      <c r="M7" s="56" t="n">
        <v>1</v>
      </c>
      <c r="N7" s="43" t="n">
        <f aca="false">INDEX(Scorecard!$AI$6:$AI$30,MATCH(J7,Scorecard!$A$6:$A$30,0))</f>
        <v>0.733333333333333</v>
      </c>
      <c r="O7" s="49" t="n">
        <f aca="false">IF(J7="",0.75,0.5+INDEX(Scorecard!$AD$6:$AD$30,MATCH(J7,Scorecard!$A$6:$A$30,0))/200)</f>
        <v>0.922516666666667</v>
      </c>
      <c r="P7" s="20" t="n">
        <f aca="false">IF(G7&lt;&gt;"Current",0,100*K7*L7*M7*N7*O7)</f>
        <v>37.8846844444444</v>
      </c>
      <c r="Q7" s="26" t="str">
        <f aca="false">IF(LEFT(F7,9)="DUPLICATE","MERGED into EV-001",IF(G7&lt;&gt;"Current","SUPPRESS – stale",IF(M7=0,"SUPPRESS – wrong entity",IF(P7&gt;=ALERT_HIGH,"HIGH",IF(P7&gt;=ALERT_MEDIUM,"MEDIUM",IF(P7&gt;=ALERT_LOW,"LOW – verify","LOG only"))))))</f>
        <v>HIGH</v>
      </c>
      <c r="R7" s="14" t="s">
        <v>781</v>
      </c>
      <c r="S7" s="14" t="s">
        <v>782</v>
      </c>
      <c r="T7" s="14" t="s">
        <v>783</v>
      </c>
      <c r="U7" s="14" t="s">
        <v>784</v>
      </c>
      <c r="V7" s="14" t="s">
        <v>785</v>
      </c>
    </row>
    <row r="8" customFormat="false" ht="150" hidden="false" customHeight="true" outlineLevel="0" collapsed="false">
      <c r="A8" s="26" t="s">
        <v>786</v>
      </c>
      <c r="B8" s="55" t="n">
        <v>45925</v>
      </c>
      <c r="C8" s="55" t="n">
        <v>45925</v>
      </c>
      <c r="D8" s="14" t="s">
        <v>787</v>
      </c>
      <c r="E8" s="6" t="s">
        <v>788</v>
      </c>
      <c r="F8" s="14" t="s">
        <v>789</v>
      </c>
      <c r="G8" s="6" t="str">
        <f aca="false">IF(B8-C8&gt;STALE_DAYS,"STALE – archived event","Current")</f>
        <v>Current</v>
      </c>
      <c r="H8" s="14" t="s">
        <v>790</v>
      </c>
      <c r="I8" s="14" t="s">
        <v>791</v>
      </c>
      <c r="J8" s="6"/>
      <c r="K8" s="56" t="n">
        <v>0.7</v>
      </c>
      <c r="L8" s="56" t="n">
        <v>0.8</v>
      </c>
      <c r="M8" s="56" t="n">
        <v>0</v>
      </c>
      <c r="N8" s="42" t="n">
        <v>0</v>
      </c>
      <c r="O8" s="49" t="n">
        <f aca="false">IF(J8="",0.75,0.5+INDEX(Scorecard!$AD$6:$AD$30,MATCH(J8,Scorecard!$A$6:$A$30,0))/200)</f>
        <v>0.75</v>
      </c>
      <c r="P8" s="20" t="n">
        <f aca="false">IF(G8&lt;&gt;"Current",0,100*K8*L8*M8*N8*O8)</f>
        <v>0</v>
      </c>
      <c r="Q8" s="26" t="str">
        <f aca="false">IF(LEFT(F8,9)="DUPLICATE","MERGED into EV-001",IF(G8&lt;&gt;"Current","SUPPRESS – stale",IF(M8=0,"SUPPRESS – wrong entity",IF(P8&gt;=ALERT_HIGH,"HIGH",IF(P8&gt;=ALERT_MEDIUM,"MEDIUM",IF(P8&gt;=ALERT_LOW,"LOW – verify","LOG only"))))))</f>
        <v>SUPPRESS – wrong entity</v>
      </c>
      <c r="R8" s="14" t="s">
        <v>792</v>
      </c>
      <c r="S8" s="14" t="s">
        <v>793</v>
      </c>
      <c r="T8" s="14" t="s">
        <v>375</v>
      </c>
      <c r="U8" s="14" t="s">
        <v>774</v>
      </c>
      <c r="V8" s="14" t="s">
        <v>794</v>
      </c>
    </row>
    <row r="9" customFormat="false" ht="150" hidden="false" customHeight="true" outlineLevel="0" collapsed="false">
      <c r="A9" s="26" t="s">
        <v>795</v>
      </c>
      <c r="B9" s="55" t="n">
        <v>45926</v>
      </c>
      <c r="C9" s="55" t="n">
        <v>45233</v>
      </c>
      <c r="D9" s="14" t="s">
        <v>796</v>
      </c>
      <c r="E9" s="6" t="s">
        <v>797</v>
      </c>
      <c r="F9" s="14" t="s">
        <v>798</v>
      </c>
      <c r="G9" s="6" t="str">
        <f aca="false">IF(B9-C9&gt;STALE_DAYS,"STALE – archived event","Current")</f>
        <v>STALE – archived event</v>
      </c>
      <c r="H9" s="14" t="s">
        <v>799</v>
      </c>
      <c r="I9" s="14" t="s">
        <v>800</v>
      </c>
      <c r="J9" s="6"/>
      <c r="K9" s="56" t="n">
        <v>0.7</v>
      </c>
      <c r="L9" s="56" t="n">
        <v>0</v>
      </c>
      <c r="M9" s="56" t="n">
        <v>0.5</v>
      </c>
      <c r="N9" s="42" t="n">
        <v>0</v>
      </c>
      <c r="O9" s="49" t="n">
        <f aca="false">IF(J9="",0.75,0.5+INDEX(Scorecard!$AD$6:$AD$30,MATCH(J9,Scorecard!$A$6:$A$30,0))/200)</f>
        <v>0.75</v>
      </c>
      <c r="P9" s="20" t="n">
        <f aca="false">IF(G9&lt;&gt;"Current",0,100*K9*L9*M9*N9*O9)</f>
        <v>0</v>
      </c>
      <c r="Q9" s="26" t="str">
        <f aca="false">IF(LEFT(F9,9)="DUPLICATE","MERGED into EV-001",IF(G9&lt;&gt;"Current","SUPPRESS – stale",IF(M9=0,"SUPPRESS – wrong entity",IF(P9&gt;=ALERT_HIGH,"HIGH",IF(P9&gt;=ALERT_MEDIUM,"MEDIUM",IF(P9&gt;=ALERT_LOW,"LOW – verify","LOG only"))))))</f>
        <v>SUPPRESS – stale</v>
      </c>
      <c r="R9" s="14" t="s">
        <v>801</v>
      </c>
      <c r="S9" s="14" t="s">
        <v>802</v>
      </c>
      <c r="T9" s="14" t="s">
        <v>375</v>
      </c>
      <c r="U9" s="14" t="s">
        <v>774</v>
      </c>
      <c r="V9" s="14" t="s">
        <v>803</v>
      </c>
    </row>
    <row r="10" customFormat="false" ht="150" hidden="false" customHeight="true" outlineLevel="0" collapsed="false">
      <c r="A10" s="26" t="s">
        <v>804</v>
      </c>
      <c r="B10" s="55" t="n">
        <v>45927</v>
      </c>
      <c r="C10" s="55" t="n">
        <v>45927</v>
      </c>
      <c r="D10" s="14" t="s">
        <v>805</v>
      </c>
      <c r="E10" s="6" t="s">
        <v>806</v>
      </c>
      <c r="F10" s="14" t="s">
        <v>807</v>
      </c>
      <c r="G10" s="6" t="str">
        <f aca="false">IF(B10-C10&gt;STALE_DAYS,"STALE – archived event","Current")</f>
        <v>Current</v>
      </c>
      <c r="H10" s="14" t="s">
        <v>808</v>
      </c>
      <c r="I10" s="14" t="s">
        <v>809</v>
      </c>
      <c r="J10" s="6" t="s">
        <v>125</v>
      </c>
      <c r="K10" s="56" t="n">
        <v>0.1</v>
      </c>
      <c r="L10" s="56" t="n">
        <v>0.8</v>
      </c>
      <c r="M10" s="56" t="n">
        <v>0.2</v>
      </c>
      <c r="N10" s="43" t="n">
        <f aca="false">INDEX(Scorecard!$AI$6:$AI$30,MATCH(J10,Scorecard!$A$6:$A$30,0))</f>
        <v>1</v>
      </c>
      <c r="O10" s="49" t="n">
        <f aca="false">IF(J10="",0.75,0.5+INDEX(Scorecard!$AD$6:$AD$30,MATCH(J10,Scorecard!$A$6:$A$30,0))/200)</f>
        <v>0.763041666666667</v>
      </c>
      <c r="P10" s="20" t="n">
        <f aca="false">IF(G10&lt;&gt;"Current",0,100*K10*L10*M10*N10*O10)</f>
        <v>1.22086666666667</v>
      </c>
      <c r="Q10" s="26" t="str">
        <f aca="false">IF(LEFT(F10,9)="DUPLICATE","MERGED into EV-001",IF(G10&lt;&gt;"Current","SUPPRESS – stale",IF(M10=0,"SUPPRESS – wrong entity",IF(P10&gt;=ALERT_HIGH,"HIGH",IF(P10&gt;=ALERT_MEDIUM,"MEDIUM",IF(P10&gt;=ALERT_LOW,"LOW – verify","LOG only"))))))</f>
        <v>LOG only</v>
      </c>
      <c r="R10" s="14" t="s">
        <v>810</v>
      </c>
      <c r="S10" s="14" t="s">
        <v>811</v>
      </c>
      <c r="T10" s="14" t="s">
        <v>375</v>
      </c>
      <c r="U10" s="14" t="s">
        <v>812</v>
      </c>
      <c r="V10" s="14" t="s">
        <v>813</v>
      </c>
    </row>
    <row r="11" customFormat="false" ht="150" hidden="false" customHeight="true" outlineLevel="0" collapsed="false">
      <c r="A11" s="26" t="s">
        <v>814</v>
      </c>
      <c r="B11" s="55" t="n">
        <v>45929</v>
      </c>
      <c r="C11" s="55" t="n">
        <v>45929</v>
      </c>
      <c r="D11" s="14" t="s">
        <v>815</v>
      </c>
      <c r="E11" s="6" t="s">
        <v>816</v>
      </c>
      <c r="F11" s="14" t="s">
        <v>817</v>
      </c>
      <c r="G11" s="6" t="str">
        <f aca="false">IF(B11-C11&gt;STALE_DAYS,"STALE – archived event","Current")</f>
        <v>Current</v>
      </c>
      <c r="H11" s="14" t="s">
        <v>818</v>
      </c>
      <c r="I11" s="14" t="s">
        <v>791</v>
      </c>
      <c r="J11" s="6"/>
      <c r="K11" s="56" t="n">
        <v>0.7</v>
      </c>
      <c r="L11" s="56" t="n">
        <v>0.8</v>
      </c>
      <c r="M11" s="56" t="n">
        <v>0</v>
      </c>
      <c r="N11" s="42" t="n">
        <v>0</v>
      </c>
      <c r="O11" s="49" t="n">
        <f aca="false">IF(J11="",0.75,0.5+INDEX(Scorecard!$AD$6:$AD$30,MATCH(J11,Scorecard!$A$6:$A$30,0))/200)</f>
        <v>0.75</v>
      </c>
      <c r="P11" s="20" t="n">
        <f aca="false">IF(G11&lt;&gt;"Current",0,100*K11*L11*M11*N11*O11)</f>
        <v>0</v>
      </c>
      <c r="Q11" s="26" t="str">
        <f aca="false">IF(LEFT(F11,9)="DUPLICATE","MERGED into EV-001",IF(G11&lt;&gt;"Current","SUPPRESS – stale",IF(M11=0,"SUPPRESS – wrong entity",IF(P11&gt;=ALERT_HIGH,"HIGH",IF(P11&gt;=ALERT_MEDIUM,"MEDIUM",IF(P11&gt;=ALERT_LOW,"LOW – verify","LOG only"))))))</f>
        <v>SUPPRESS – wrong entity</v>
      </c>
      <c r="R11" s="14" t="s">
        <v>819</v>
      </c>
      <c r="S11" s="14" t="s">
        <v>820</v>
      </c>
      <c r="T11" s="14" t="s">
        <v>375</v>
      </c>
      <c r="U11" s="14" t="s">
        <v>774</v>
      </c>
      <c r="V11" s="14" t="s">
        <v>375</v>
      </c>
    </row>
    <row r="12" customFormat="false" ht="150" hidden="false" customHeight="true" outlineLevel="0" collapsed="false">
      <c r="A12" s="26" t="s">
        <v>821</v>
      </c>
      <c r="B12" s="55" t="n">
        <v>45930</v>
      </c>
      <c r="C12" s="55" t="n">
        <v>45930</v>
      </c>
      <c r="D12" s="14" t="s">
        <v>822</v>
      </c>
      <c r="E12" s="6" t="s">
        <v>823</v>
      </c>
      <c r="F12" s="14" t="s">
        <v>824</v>
      </c>
      <c r="G12" s="6" t="str">
        <f aca="false">IF(B12-C12&gt;STALE_DAYS,"STALE – archived event","Current")</f>
        <v>Current</v>
      </c>
      <c r="H12" s="14" t="s">
        <v>825</v>
      </c>
      <c r="I12" s="14" t="s">
        <v>826</v>
      </c>
      <c r="J12" s="6"/>
      <c r="K12" s="56" t="n">
        <v>0.4</v>
      </c>
      <c r="L12" s="56" t="n">
        <v>0.8</v>
      </c>
      <c r="M12" s="56" t="n">
        <v>0.3</v>
      </c>
      <c r="N12" s="42" t="n">
        <v>1</v>
      </c>
      <c r="O12" s="49" t="n">
        <f aca="false">IF(J12="",0.75,0.5+INDEX(Scorecard!$AD$6:$AD$30,MATCH(J12,Scorecard!$A$6:$A$30,0))/200)</f>
        <v>0.75</v>
      </c>
      <c r="P12" s="20" t="n">
        <f aca="false">IF(G12&lt;&gt;"Current",0,100*K12*L12*M12*N12*O12)</f>
        <v>7.2</v>
      </c>
      <c r="Q12" s="26" t="str">
        <f aca="false">IF(LEFT(F12,9)="DUPLICATE","MERGED into EV-001",IF(G12&lt;&gt;"Current","SUPPRESS – stale",IF(M12=0,"SUPPRESS – wrong entity",IF(P12&gt;=ALERT_HIGH,"HIGH",IF(P12&gt;=ALERT_MEDIUM,"MEDIUM",IF(P12&gt;=ALERT_LOW,"LOW – verify","LOG only"))))))</f>
        <v>LOW – verify</v>
      </c>
      <c r="R12" s="14" t="s">
        <v>827</v>
      </c>
      <c r="S12" s="14" t="s">
        <v>828</v>
      </c>
      <c r="T12" s="14" t="s">
        <v>829</v>
      </c>
      <c r="U12" s="14" t="s">
        <v>830</v>
      </c>
      <c r="V12" s="14" t="s">
        <v>831</v>
      </c>
    </row>
    <row r="14" customFormat="false" ht="15" hidden="false" customHeight="false" outlineLevel="0" collapsed="false">
      <c r="A14" s="41" t="s">
        <v>832</v>
      </c>
    </row>
    <row r="15" customFormat="false" ht="15" hidden="false" customHeight="false" outlineLevel="0" collapsed="false">
      <c r="A15" s="6" t="s">
        <v>833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customFormat="false" ht="15" hidden="false" customHeight="false" outlineLevel="0" collapsed="false">
      <c r="A16" s="6" t="s">
        <v>834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customFormat="false" ht="15" hidden="false" customHeight="false" outlineLevel="0" collapsed="false">
      <c r="A17" s="6" t="s">
        <v>835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customFormat="false" ht="15" hidden="false" customHeight="false" outlineLevel="0" collapsed="false">
      <c r="A18" s="6" t="s">
        <v>836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customFormat="false" ht="15" hidden="false" customHeight="false" outlineLevel="0" collapsed="false">
      <c r="A19" s="6" t="s">
        <v>837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</sheetData>
  <mergeCells count="5">
    <mergeCell ref="A15:L15"/>
    <mergeCell ref="A16:L16"/>
    <mergeCell ref="A17:L17"/>
    <mergeCell ref="A18:L18"/>
    <mergeCell ref="A19:L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40"/>
    <col collapsed="false" customWidth="true" hidden="false" outlineLevel="0" max="7" min="7" style="0" width="18"/>
    <col collapsed="false" customWidth="true" hidden="false" outlineLevel="0" max="8" min="8" style="0" width="30"/>
    <col collapsed="false" customWidth="true" hidden="false" outlineLevel="0" max="9" min="9" style="0" width="14"/>
    <col collapsed="false" customWidth="true" hidden="false" outlineLevel="0" max="11" min="10" style="0" width="8"/>
    <col collapsed="false" customWidth="true" hidden="false" outlineLevel="0" max="12" min="12" style="0" width="9"/>
    <col collapsed="false" customWidth="true" hidden="false" outlineLevel="0" max="13" min="13" style="0" width="7"/>
    <col collapsed="false" customWidth="true" hidden="false" outlineLevel="0" max="15" min="14" style="0" width="8"/>
    <col collapsed="false" customWidth="true" hidden="false" outlineLevel="0" max="17" min="16" style="0" width="9"/>
    <col collapsed="false" customWidth="true" hidden="false" outlineLevel="0" max="18" min="18" style="0" width="30"/>
    <col collapsed="false" customWidth="true" hidden="false" outlineLevel="0" max="19" min="19" style="0" width="20"/>
    <col collapsed="false" customWidth="true" hidden="false" outlineLevel="0" max="20" min="20" style="0" width="40"/>
  </cols>
  <sheetData>
    <row r="1" customFormat="false" ht="17.35" hidden="false" customHeight="false" outlineLevel="0" collapsed="false">
      <c r="A1" s="1" t="s">
        <v>838</v>
      </c>
    </row>
    <row r="2" customFormat="false" ht="15" hidden="false" customHeight="false" outlineLevel="0" collapsed="false">
      <c r="A2" s="12" t="s">
        <v>839</v>
      </c>
    </row>
    <row r="4" customFormat="false" ht="46.25" hidden="false" customHeight="false" outlineLevel="0" collapsed="false">
      <c r="A4" s="5" t="s">
        <v>840</v>
      </c>
      <c r="B4" s="5" t="s">
        <v>841</v>
      </c>
      <c r="C4" s="5" t="s">
        <v>680</v>
      </c>
      <c r="D4" s="5" t="s">
        <v>842</v>
      </c>
      <c r="E4" s="5" t="s">
        <v>843</v>
      </c>
      <c r="F4" s="5" t="s">
        <v>844</v>
      </c>
      <c r="G4" s="5" t="s">
        <v>845</v>
      </c>
      <c r="H4" s="5" t="s">
        <v>846</v>
      </c>
      <c r="I4" s="5" t="s">
        <v>847</v>
      </c>
      <c r="J4" s="5" t="s">
        <v>848</v>
      </c>
      <c r="K4" s="5" t="s">
        <v>849</v>
      </c>
      <c r="L4" s="5" t="s">
        <v>850</v>
      </c>
      <c r="M4" s="5" t="s">
        <v>851</v>
      </c>
      <c r="N4" s="5" t="s">
        <v>852</v>
      </c>
      <c r="O4" s="5" t="s">
        <v>853</v>
      </c>
      <c r="P4" s="5" t="s">
        <v>854</v>
      </c>
      <c r="Q4" s="5" t="s">
        <v>855</v>
      </c>
      <c r="R4" s="5" t="s">
        <v>856</v>
      </c>
      <c r="S4" s="5" t="s">
        <v>857</v>
      </c>
      <c r="T4" s="5" t="s">
        <v>858</v>
      </c>
    </row>
    <row r="5" customFormat="false" ht="75" hidden="false" customHeight="true" outlineLevel="0" collapsed="false">
      <c r="A5" s="6" t="n">
        <v>1</v>
      </c>
      <c r="B5" s="14" t="s">
        <v>859</v>
      </c>
      <c r="C5" s="14" t="s">
        <v>860</v>
      </c>
      <c r="D5" s="14" t="s">
        <v>861</v>
      </c>
      <c r="E5" s="14" t="s">
        <v>862</v>
      </c>
      <c r="F5" s="14" t="s">
        <v>863</v>
      </c>
      <c r="G5" s="14" t="s">
        <v>864</v>
      </c>
      <c r="H5" s="14" t="s">
        <v>865</v>
      </c>
      <c r="I5" s="14" t="s">
        <v>866</v>
      </c>
      <c r="J5" s="16" t="n">
        <v>5</v>
      </c>
      <c r="K5" s="16" t="n">
        <v>5</v>
      </c>
      <c r="L5" s="16" t="n">
        <v>4</v>
      </c>
      <c r="M5" s="16" t="n">
        <v>5</v>
      </c>
      <c r="N5" s="16" t="n">
        <v>5</v>
      </c>
      <c r="O5" s="16" t="n">
        <v>2</v>
      </c>
      <c r="P5" s="57" t="n">
        <f aca="false">(J5*Assumptions!$B$49+K5*Assumptions!$B$50+L5*Assumptions!$B$51+M5*Assumptions!$B$52+N5*Assumptions!$B$53+O5*Assumptions!$B$54)/5*100</f>
        <v>90</v>
      </c>
      <c r="Q5" s="58" t="s">
        <v>867</v>
      </c>
      <c r="R5" s="14" t="s">
        <v>868</v>
      </c>
      <c r="S5" s="59" t="str">
        <f aca="false">IF(Q5="Red","EXCLUDE – failed risk screen",IF(P5&gt;=Assumptions!$B$56,IF(Q5="Amber","SHORTLIST – with risk conditions","SHORTLIST – issue RFI"),IF(P5&gt;=Assumptions!$B$57,"RESERVE","Not shortlisted")))</f>
        <v>SHORTLIST – issue RFI</v>
      </c>
      <c r="T5" s="14" t="s">
        <v>869</v>
      </c>
    </row>
    <row r="6" customFormat="false" ht="75" hidden="false" customHeight="true" outlineLevel="0" collapsed="false">
      <c r="A6" s="6" t="n">
        <v>2</v>
      </c>
      <c r="B6" s="14" t="s">
        <v>859</v>
      </c>
      <c r="C6" s="14" t="s">
        <v>870</v>
      </c>
      <c r="D6" s="14" t="s">
        <v>871</v>
      </c>
      <c r="E6" s="14" t="s">
        <v>872</v>
      </c>
      <c r="F6" s="14" t="s">
        <v>873</v>
      </c>
      <c r="G6" s="14" t="s">
        <v>874</v>
      </c>
      <c r="H6" s="14" t="s">
        <v>875</v>
      </c>
      <c r="I6" s="14" t="s">
        <v>876</v>
      </c>
      <c r="J6" s="16" t="n">
        <v>4</v>
      </c>
      <c r="K6" s="16" t="n">
        <v>5</v>
      </c>
      <c r="L6" s="16" t="n">
        <v>3</v>
      </c>
      <c r="M6" s="16" t="n">
        <v>5</v>
      </c>
      <c r="N6" s="16" t="n">
        <v>5</v>
      </c>
      <c r="O6" s="16" t="n">
        <v>2</v>
      </c>
      <c r="P6" s="57" t="n">
        <f aca="false">(J6*Assumptions!$B$49+K6*Assumptions!$B$50+L6*Assumptions!$B$51+M6*Assumptions!$B$52+N6*Assumptions!$B$53+O6*Assumptions!$B$54)/5*100</f>
        <v>81</v>
      </c>
      <c r="Q6" s="58" t="s">
        <v>867</v>
      </c>
      <c r="R6" s="14" t="s">
        <v>877</v>
      </c>
      <c r="S6" s="59" t="str">
        <f aca="false">IF(Q6="Red","EXCLUDE – failed risk screen",IF(P6&gt;=Assumptions!$B$56,IF(Q6="Amber","SHORTLIST – with risk conditions","SHORTLIST – issue RFI"),IF(P6&gt;=Assumptions!$B$57,"RESERVE","Not shortlisted")))</f>
        <v>SHORTLIST – issue RFI</v>
      </c>
      <c r="T6" s="14" t="s">
        <v>878</v>
      </c>
    </row>
    <row r="7" customFormat="false" ht="75" hidden="false" customHeight="true" outlineLevel="0" collapsed="false">
      <c r="A7" s="6" t="n">
        <v>3</v>
      </c>
      <c r="B7" s="14" t="s">
        <v>859</v>
      </c>
      <c r="C7" s="14" t="s">
        <v>870</v>
      </c>
      <c r="D7" s="14" t="s">
        <v>871</v>
      </c>
      <c r="E7" s="14" t="s">
        <v>879</v>
      </c>
      <c r="F7" s="14" t="s">
        <v>880</v>
      </c>
      <c r="G7" s="14" t="s">
        <v>881</v>
      </c>
      <c r="H7" s="14" t="s">
        <v>882</v>
      </c>
      <c r="I7" s="14" t="s">
        <v>866</v>
      </c>
      <c r="J7" s="16" t="n">
        <v>4</v>
      </c>
      <c r="K7" s="16" t="n">
        <v>5</v>
      </c>
      <c r="L7" s="16" t="n">
        <v>3</v>
      </c>
      <c r="M7" s="16" t="n">
        <v>4</v>
      </c>
      <c r="N7" s="16" t="n">
        <v>5</v>
      </c>
      <c r="O7" s="16" t="n">
        <v>2</v>
      </c>
      <c r="P7" s="57" t="n">
        <f aca="false">(J7*Assumptions!$B$49+K7*Assumptions!$B$50+L7*Assumptions!$B$51+M7*Assumptions!$B$52+N7*Assumptions!$B$53+O7*Assumptions!$B$54)/5*100</f>
        <v>78</v>
      </c>
      <c r="Q7" s="58" t="s">
        <v>867</v>
      </c>
      <c r="R7" s="14" t="s">
        <v>375</v>
      </c>
      <c r="S7" s="59" t="str">
        <f aca="false">IF(Q7="Red","EXCLUDE – failed risk screen",IF(P7&gt;=Assumptions!$B$56,IF(Q7="Amber","SHORTLIST – with risk conditions","SHORTLIST – issue RFI"),IF(P7&gt;=Assumptions!$B$57,"RESERVE","Not shortlisted")))</f>
        <v>SHORTLIST – issue RFI</v>
      </c>
      <c r="T7" s="14" t="s">
        <v>883</v>
      </c>
    </row>
    <row r="8" customFormat="false" ht="75" hidden="false" customHeight="true" outlineLevel="0" collapsed="false">
      <c r="A8" s="6" t="n">
        <v>4</v>
      </c>
      <c r="B8" s="14" t="s">
        <v>859</v>
      </c>
      <c r="C8" s="14" t="s">
        <v>884</v>
      </c>
      <c r="D8" s="14" t="s">
        <v>885</v>
      </c>
      <c r="E8" s="14" t="s">
        <v>886</v>
      </c>
      <c r="F8" s="14" t="s">
        <v>887</v>
      </c>
      <c r="G8" s="14" t="s">
        <v>888</v>
      </c>
      <c r="H8" s="14" t="s">
        <v>889</v>
      </c>
      <c r="I8" s="14" t="s">
        <v>890</v>
      </c>
      <c r="J8" s="16" t="n">
        <v>4</v>
      </c>
      <c r="K8" s="16" t="n">
        <v>4</v>
      </c>
      <c r="L8" s="16" t="n">
        <v>3</v>
      </c>
      <c r="M8" s="16" t="n">
        <v>4</v>
      </c>
      <c r="N8" s="16" t="n">
        <v>4</v>
      </c>
      <c r="O8" s="16" t="n">
        <v>2</v>
      </c>
      <c r="P8" s="57" t="n">
        <f aca="false">(J8*Assumptions!$B$49+K8*Assumptions!$B$50+L8*Assumptions!$B$51+M8*Assumptions!$B$52+N8*Assumptions!$B$53+O8*Assumptions!$B$54)/5*100</f>
        <v>72</v>
      </c>
      <c r="Q8" s="60" t="s">
        <v>891</v>
      </c>
      <c r="R8" s="14" t="s">
        <v>892</v>
      </c>
      <c r="S8" s="59" t="str">
        <f aca="false">IF(Q8="Red","EXCLUDE – failed risk screen",IF(P8&gt;=Assumptions!$B$56,IF(Q8="Amber","SHORTLIST – with risk conditions","SHORTLIST – issue RFI"),IF(P8&gt;=Assumptions!$B$57,"RESERVE","Not shortlisted")))</f>
        <v>RESERVE</v>
      </c>
      <c r="T8" s="14" t="s">
        <v>893</v>
      </c>
    </row>
    <row r="9" customFormat="false" ht="75" hidden="false" customHeight="true" outlineLevel="0" collapsed="false">
      <c r="A9" s="6" t="n">
        <v>5</v>
      </c>
      <c r="B9" s="14" t="s">
        <v>859</v>
      </c>
      <c r="C9" s="14" t="s">
        <v>884</v>
      </c>
      <c r="D9" s="14" t="s">
        <v>894</v>
      </c>
      <c r="E9" s="14" t="s">
        <v>895</v>
      </c>
      <c r="F9" s="14" t="s">
        <v>896</v>
      </c>
      <c r="G9" s="14" t="s">
        <v>897</v>
      </c>
      <c r="H9" s="14" t="s">
        <v>898</v>
      </c>
      <c r="I9" s="14" t="s">
        <v>866</v>
      </c>
      <c r="J9" s="16" t="n">
        <v>5</v>
      </c>
      <c r="K9" s="16" t="n">
        <v>5</v>
      </c>
      <c r="L9" s="16" t="n">
        <v>3</v>
      </c>
      <c r="M9" s="16" t="n">
        <v>3</v>
      </c>
      <c r="N9" s="16" t="n">
        <v>4</v>
      </c>
      <c r="O9" s="16" t="n">
        <v>2</v>
      </c>
      <c r="P9" s="57" t="n">
        <f aca="false">(J9*Assumptions!$B$49+K9*Assumptions!$B$50+L9*Assumptions!$B$51+M9*Assumptions!$B$52+N9*Assumptions!$B$53+O9*Assumptions!$B$54)/5*100</f>
        <v>78</v>
      </c>
      <c r="Q9" s="60" t="s">
        <v>891</v>
      </c>
      <c r="R9" s="14" t="s">
        <v>899</v>
      </c>
      <c r="S9" s="59" t="str">
        <f aca="false">IF(Q9="Red","EXCLUDE – failed risk screen",IF(P9&gt;=Assumptions!$B$56,IF(Q9="Amber","SHORTLIST – with risk conditions","SHORTLIST – issue RFI"),IF(P9&gt;=Assumptions!$B$57,"RESERVE","Not shortlisted")))</f>
        <v>SHORTLIST – with risk conditions</v>
      </c>
      <c r="T9" s="14" t="s">
        <v>900</v>
      </c>
    </row>
    <row r="10" customFormat="false" ht="75" hidden="false" customHeight="true" outlineLevel="0" collapsed="false">
      <c r="A10" s="6" t="n">
        <v>6</v>
      </c>
      <c r="B10" s="14" t="s">
        <v>901</v>
      </c>
      <c r="C10" s="14" t="s">
        <v>902</v>
      </c>
      <c r="D10" s="14" t="s">
        <v>903</v>
      </c>
      <c r="E10" s="14" t="s">
        <v>904</v>
      </c>
      <c r="F10" s="14" t="s">
        <v>905</v>
      </c>
      <c r="G10" s="14" t="s">
        <v>906</v>
      </c>
      <c r="H10" s="14" t="s">
        <v>907</v>
      </c>
      <c r="I10" s="14" t="s">
        <v>866</v>
      </c>
      <c r="J10" s="16" t="n">
        <v>5</v>
      </c>
      <c r="K10" s="16" t="n">
        <v>5</v>
      </c>
      <c r="L10" s="16" t="n">
        <v>3</v>
      </c>
      <c r="M10" s="16" t="n">
        <v>4</v>
      </c>
      <c r="N10" s="16" t="n">
        <v>5</v>
      </c>
      <c r="O10" s="16" t="n">
        <v>3</v>
      </c>
      <c r="P10" s="57" t="n">
        <f aca="false">(J10*Assumptions!$B$49+K10*Assumptions!$B$50+L10*Assumptions!$B$51+M10*Assumptions!$B$52+N10*Assumptions!$B$53+O10*Assumptions!$B$54)/5*100</f>
        <v>85</v>
      </c>
      <c r="Q10" s="58" t="s">
        <v>867</v>
      </c>
      <c r="R10" s="14" t="s">
        <v>375</v>
      </c>
      <c r="S10" s="59" t="str">
        <f aca="false">IF(Q10="Red","EXCLUDE – failed risk screen",IF(P10&gt;=Assumptions!$B$56,IF(Q10="Amber","SHORTLIST – with risk conditions","SHORTLIST – issue RFI"),IF(P10&gt;=Assumptions!$B$57,"RESERVE","Not shortlisted")))</f>
        <v>SHORTLIST – issue RFI</v>
      </c>
      <c r="T10" s="14" t="s">
        <v>908</v>
      </c>
    </row>
    <row r="11" customFormat="false" ht="75" hidden="false" customHeight="true" outlineLevel="0" collapsed="false">
      <c r="A11" s="6" t="n">
        <v>7</v>
      </c>
      <c r="B11" s="14" t="s">
        <v>901</v>
      </c>
      <c r="C11" s="14" t="s">
        <v>909</v>
      </c>
      <c r="D11" s="14" t="s">
        <v>910</v>
      </c>
      <c r="E11" s="14" t="s">
        <v>911</v>
      </c>
      <c r="F11" s="14" t="s">
        <v>912</v>
      </c>
      <c r="G11" s="14" t="s">
        <v>913</v>
      </c>
      <c r="H11" s="14" t="s">
        <v>914</v>
      </c>
      <c r="I11" s="14" t="s">
        <v>866</v>
      </c>
      <c r="J11" s="16" t="n">
        <v>3</v>
      </c>
      <c r="K11" s="16" t="n">
        <v>5</v>
      </c>
      <c r="L11" s="16" t="n">
        <v>2</v>
      </c>
      <c r="M11" s="16" t="n">
        <v>4</v>
      </c>
      <c r="N11" s="16" t="n">
        <v>3</v>
      </c>
      <c r="O11" s="16" t="n">
        <v>1</v>
      </c>
      <c r="P11" s="57" t="n">
        <f aca="false">(J11*Assumptions!$B$49+K11*Assumptions!$B$50+L11*Assumptions!$B$51+M11*Assumptions!$B$52+N11*Assumptions!$B$53+O11*Assumptions!$B$54)/5*100</f>
        <v>63</v>
      </c>
      <c r="Q11" s="60" t="s">
        <v>891</v>
      </c>
      <c r="R11" s="14" t="s">
        <v>915</v>
      </c>
      <c r="S11" s="59" t="str">
        <f aca="false">IF(Q11="Red","EXCLUDE – failed risk screen",IF(P11&gt;=Assumptions!$B$56,IF(Q11="Amber","SHORTLIST – with risk conditions","SHORTLIST – issue RFI"),IF(P11&gt;=Assumptions!$B$57,"RESERVE","Not shortlisted")))</f>
        <v>RESERVE</v>
      </c>
      <c r="T11" s="14" t="s">
        <v>916</v>
      </c>
    </row>
    <row r="12" customFormat="false" ht="75" hidden="false" customHeight="true" outlineLevel="0" collapsed="false">
      <c r="A12" s="6" t="n">
        <v>8</v>
      </c>
      <c r="B12" s="14" t="s">
        <v>901</v>
      </c>
      <c r="C12" s="14" t="s">
        <v>909</v>
      </c>
      <c r="D12" s="14" t="s">
        <v>910</v>
      </c>
      <c r="E12" s="14" t="s">
        <v>917</v>
      </c>
      <c r="F12" s="14" t="s">
        <v>918</v>
      </c>
      <c r="G12" s="14" t="s">
        <v>913</v>
      </c>
      <c r="H12" s="14" t="s">
        <v>919</v>
      </c>
      <c r="I12" s="14" t="s">
        <v>866</v>
      </c>
      <c r="J12" s="16" t="n">
        <v>3</v>
      </c>
      <c r="K12" s="16" t="n">
        <v>5</v>
      </c>
      <c r="L12" s="16" t="n">
        <v>2</v>
      </c>
      <c r="M12" s="16" t="n">
        <v>3</v>
      </c>
      <c r="N12" s="16" t="n">
        <v>3</v>
      </c>
      <c r="O12" s="16" t="n">
        <v>1</v>
      </c>
      <c r="P12" s="57" t="n">
        <f aca="false">(J12*Assumptions!$B$49+K12*Assumptions!$B$50+L12*Assumptions!$B$51+M12*Assumptions!$B$52+N12*Assumptions!$B$53+O12*Assumptions!$B$54)/5*100</f>
        <v>60</v>
      </c>
      <c r="Q12" s="60" t="s">
        <v>891</v>
      </c>
      <c r="R12" s="14" t="s">
        <v>920</v>
      </c>
      <c r="S12" s="59" t="str">
        <f aca="false">IF(Q12="Red","EXCLUDE – failed risk screen",IF(P12&gt;=Assumptions!$B$56,IF(Q12="Amber","SHORTLIST – with risk conditions","SHORTLIST – issue RFI"),IF(P12&gt;=Assumptions!$B$57,"RESERVE","Not shortlisted")))</f>
        <v>RESERVE</v>
      </c>
      <c r="T12" s="14" t="s">
        <v>921</v>
      </c>
    </row>
    <row r="13" customFormat="false" ht="75" hidden="false" customHeight="true" outlineLevel="0" collapsed="false">
      <c r="A13" s="6" t="n">
        <v>9</v>
      </c>
      <c r="B13" s="14" t="s">
        <v>922</v>
      </c>
      <c r="C13" s="14" t="s">
        <v>923</v>
      </c>
      <c r="D13" s="14" t="s">
        <v>924</v>
      </c>
      <c r="E13" s="14" t="s">
        <v>925</v>
      </c>
      <c r="F13" s="14" t="s">
        <v>926</v>
      </c>
      <c r="G13" s="14" t="s">
        <v>927</v>
      </c>
      <c r="H13" s="14" t="s">
        <v>928</v>
      </c>
      <c r="I13" s="14" t="s">
        <v>929</v>
      </c>
      <c r="J13" s="16" t="n">
        <v>5</v>
      </c>
      <c r="K13" s="16" t="n">
        <v>5</v>
      </c>
      <c r="L13" s="16" t="n">
        <v>4</v>
      </c>
      <c r="M13" s="16" t="n">
        <v>5</v>
      </c>
      <c r="N13" s="16" t="n">
        <v>5</v>
      </c>
      <c r="O13" s="16" t="n">
        <v>4</v>
      </c>
      <c r="P13" s="57" t="n">
        <f aca="false">(J13*Assumptions!$B$49+K13*Assumptions!$B$50+L13*Assumptions!$B$51+M13*Assumptions!$B$52+N13*Assumptions!$B$53+O13*Assumptions!$B$54)/5*100</f>
        <v>94</v>
      </c>
      <c r="Q13" s="58" t="s">
        <v>867</v>
      </c>
      <c r="R13" s="14" t="s">
        <v>375</v>
      </c>
      <c r="S13" s="59" t="str">
        <f aca="false">IF(Q13="Red","EXCLUDE – failed risk screen",IF(P13&gt;=Assumptions!$B$56,IF(Q13="Amber","SHORTLIST – with risk conditions","SHORTLIST – issue RFI"),IF(P13&gt;=Assumptions!$B$57,"RESERVE","Not shortlisted")))</f>
        <v>SHORTLIST – issue RFI</v>
      </c>
      <c r="T13" s="14" t="s">
        <v>930</v>
      </c>
    </row>
    <row r="14" customFormat="false" ht="75" hidden="false" customHeight="true" outlineLevel="0" collapsed="false">
      <c r="A14" s="6" t="n">
        <v>10</v>
      </c>
      <c r="B14" s="14" t="s">
        <v>922</v>
      </c>
      <c r="C14" s="14" t="s">
        <v>923</v>
      </c>
      <c r="D14" s="14" t="s">
        <v>931</v>
      </c>
      <c r="E14" s="14" t="s">
        <v>932</v>
      </c>
      <c r="F14" s="14" t="s">
        <v>933</v>
      </c>
      <c r="G14" s="14" t="s">
        <v>927</v>
      </c>
      <c r="H14" s="14" t="s">
        <v>934</v>
      </c>
      <c r="I14" s="14" t="s">
        <v>935</v>
      </c>
      <c r="J14" s="16" t="n">
        <v>4</v>
      </c>
      <c r="K14" s="16" t="n">
        <v>5</v>
      </c>
      <c r="L14" s="16" t="n">
        <v>4</v>
      </c>
      <c r="M14" s="16" t="n">
        <v>5</v>
      </c>
      <c r="N14" s="16" t="n">
        <v>5</v>
      </c>
      <c r="O14" s="16" t="n">
        <v>4</v>
      </c>
      <c r="P14" s="57" t="n">
        <f aca="false">(J14*Assumptions!$B$49+K14*Assumptions!$B$50+L14*Assumptions!$B$51+M14*Assumptions!$B$52+N14*Assumptions!$B$53+O14*Assumptions!$B$54)/5*100</f>
        <v>89</v>
      </c>
      <c r="Q14" s="58" t="s">
        <v>867</v>
      </c>
      <c r="R14" s="14" t="s">
        <v>375</v>
      </c>
      <c r="S14" s="59" t="str">
        <f aca="false">IF(Q14="Red","EXCLUDE – failed risk screen",IF(P14&gt;=Assumptions!$B$56,IF(Q14="Amber","SHORTLIST – with risk conditions","SHORTLIST – issue RFI"),IF(P14&gt;=Assumptions!$B$57,"RESERVE","Not shortlisted")))</f>
        <v>SHORTLIST – issue RFI</v>
      </c>
      <c r="T14" s="14" t="s">
        <v>936</v>
      </c>
    </row>
    <row r="15" customFormat="false" ht="75" hidden="false" customHeight="true" outlineLevel="0" collapsed="false">
      <c r="A15" s="6" t="n">
        <v>11</v>
      </c>
      <c r="B15" s="14" t="s">
        <v>922</v>
      </c>
      <c r="C15" s="14" t="s">
        <v>923</v>
      </c>
      <c r="D15" s="14" t="s">
        <v>931</v>
      </c>
      <c r="E15" s="14" t="s">
        <v>937</v>
      </c>
      <c r="F15" s="14" t="s">
        <v>938</v>
      </c>
      <c r="G15" s="14" t="s">
        <v>927</v>
      </c>
      <c r="H15" s="14" t="s">
        <v>939</v>
      </c>
      <c r="I15" s="14" t="s">
        <v>940</v>
      </c>
      <c r="J15" s="16" t="n">
        <v>3</v>
      </c>
      <c r="K15" s="16" t="n">
        <v>4</v>
      </c>
      <c r="L15" s="16" t="n">
        <v>4</v>
      </c>
      <c r="M15" s="16" t="n">
        <v>5</v>
      </c>
      <c r="N15" s="16" t="n">
        <v>5</v>
      </c>
      <c r="O15" s="16" t="n">
        <v>3</v>
      </c>
      <c r="P15" s="57" t="n">
        <f aca="false">(J15*Assumptions!$B$49+K15*Assumptions!$B$50+L15*Assumptions!$B$51+M15*Assumptions!$B$52+N15*Assumptions!$B$53+O15*Assumptions!$B$54)/5*100</f>
        <v>78</v>
      </c>
      <c r="Q15" s="58" t="s">
        <v>867</v>
      </c>
      <c r="R15" s="14" t="s">
        <v>375</v>
      </c>
      <c r="S15" s="59" t="str">
        <f aca="false">IF(Q15="Red","EXCLUDE – failed risk screen",IF(P15&gt;=Assumptions!$B$56,IF(Q15="Amber","SHORTLIST – with risk conditions","SHORTLIST – issue RFI"),IF(P15&gt;=Assumptions!$B$57,"RESERVE","Not shortlisted")))</f>
        <v>SHORTLIST – issue RFI</v>
      </c>
      <c r="T15" s="14" t="s">
        <v>941</v>
      </c>
    </row>
    <row r="16" customFormat="false" ht="75" hidden="false" customHeight="true" outlineLevel="0" collapsed="false">
      <c r="A16" s="6" t="n">
        <v>12</v>
      </c>
      <c r="B16" s="14" t="s">
        <v>942</v>
      </c>
      <c r="C16" s="14" t="s">
        <v>943</v>
      </c>
      <c r="D16" s="14" t="s">
        <v>944</v>
      </c>
      <c r="E16" s="14" t="s">
        <v>945</v>
      </c>
      <c r="F16" s="14" t="s">
        <v>946</v>
      </c>
      <c r="G16" s="14" t="s">
        <v>947</v>
      </c>
      <c r="H16" s="14" t="s">
        <v>948</v>
      </c>
      <c r="I16" s="14" t="s">
        <v>949</v>
      </c>
      <c r="J16" s="16" t="n">
        <v>5</v>
      </c>
      <c r="K16" s="16" t="n">
        <v>5</v>
      </c>
      <c r="L16" s="16" t="n">
        <v>3</v>
      </c>
      <c r="M16" s="16" t="n">
        <v>5</v>
      </c>
      <c r="N16" s="16" t="n">
        <v>5</v>
      </c>
      <c r="O16" s="16" t="n">
        <v>2</v>
      </c>
      <c r="P16" s="57" t="n">
        <f aca="false">(J16*Assumptions!$B$49+K16*Assumptions!$B$50+L16*Assumptions!$B$51+M16*Assumptions!$B$52+N16*Assumptions!$B$53+O16*Assumptions!$B$54)/5*100</f>
        <v>86</v>
      </c>
      <c r="Q16" s="58" t="s">
        <v>867</v>
      </c>
      <c r="R16" s="14" t="s">
        <v>950</v>
      </c>
      <c r="S16" s="59" t="str">
        <f aca="false">IF(Q16="Red","EXCLUDE – failed risk screen",IF(P16&gt;=Assumptions!$B$56,IF(Q16="Amber","SHORTLIST – with risk conditions","SHORTLIST – issue RFI"),IF(P16&gt;=Assumptions!$B$57,"RESERVE","Not shortlisted")))</f>
        <v>SHORTLIST – issue RFI</v>
      </c>
      <c r="T16" s="14" t="s">
        <v>951</v>
      </c>
    </row>
    <row r="17" customFormat="false" ht="75" hidden="false" customHeight="true" outlineLevel="0" collapsed="false">
      <c r="A17" s="6" t="n">
        <v>13</v>
      </c>
      <c r="B17" s="14" t="s">
        <v>942</v>
      </c>
      <c r="C17" s="14" t="s">
        <v>943</v>
      </c>
      <c r="D17" s="14" t="s">
        <v>944</v>
      </c>
      <c r="E17" s="14" t="s">
        <v>952</v>
      </c>
      <c r="F17" s="14" t="s">
        <v>953</v>
      </c>
      <c r="G17" s="14" t="s">
        <v>954</v>
      </c>
      <c r="H17" s="14" t="s">
        <v>955</v>
      </c>
      <c r="I17" s="14" t="s">
        <v>866</v>
      </c>
      <c r="J17" s="16" t="n">
        <v>5</v>
      </c>
      <c r="K17" s="16" t="n">
        <v>4</v>
      </c>
      <c r="L17" s="16" t="n">
        <v>3</v>
      </c>
      <c r="M17" s="16" t="n">
        <v>3</v>
      </c>
      <c r="N17" s="16" t="n">
        <v>4</v>
      </c>
      <c r="O17" s="16" t="n">
        <v>2</v>
      </c>
      <c r="P17" s="57" t="n">
        <f aca="false">(J17*Assumptions!$B$49+K17*Assumptions!$B$50+L17*Assumptions!$B$51+M17*Assumptions!$B$52+N17*Assumptions!$B$53+O17*Assumptions!$B$54)/5*100</f>
        <v>74</v>
      </c>
      <c r="Q17" s="60" t="s">
        <v>891</v>
      </c>
      <c r="R17" s="14" t="s">
        <v>956</v>
      </c>
      <c r="S17" s="59" t="str">
        <f aca="false">IF(Q17="Red","EXCLUDE – failed risk screen",IF(P17&gt;=Assumptions!$B$56,IF(Q17="Amber","SHORTLIST – with risk conditions","SHORTLIST – issue RFI"),IF(P17&gt;=Assumptions!$B$57,"RESERVE","Not shortlisted")))</f>
        <v>RESERVE</v>
      </c>
      <c r="T17" s="14" t="s">
        <v>957</v>
      </c>
    </row>
    <row r="18" customFormat="false" ht="75" hidden="false" customHeight="true" outlineLevel="0" collapsed="false">
      <c r="A18" s="6" t="n">
        <v>14</v>
      </c>
      <c r="B18" s="14" t="s">
        <v>942</v>
      </c>
      <c r="C18" s="14" t="s">
        <v>943</v>
      </c>
      <c r="D18" s="14" t="s">
        <v>958</v>
      </c>
      <c r="E18" s="14" t="s">
        <v>959</v>
      </c>
      <c r="F18" s="14" t="s">
        <v>960</v>
      </c>
      <c r="G18" s="14" t="s">
        <v>961</v>
      </c>
      <c r="H18" s="14" t="s">
        <v>962</v>
      </c>
      <c r="I18" s="14" t="s">
        <v>963</v>
      </c>
      <c r="J18" s="16" t="n">
        <v>4</v>
      </c>
      <c r="K18" s="16" t="n">
        <v>4</v>
      </c>
      <c r="L18" s="16" t="n">
        <v>1</v>
      </c>
      <c r="M18" s="16" t="n">
        <v>2</v>
      </c>
      <c r="N18" s="16" t="n">
        <v>3</v>
      </c>
      <c r="O18" s="16" t="n">
        <v>2</v>
      </c>
      <c r="P18" s="57" t="n">
        <f aca="false">(J18*Assumptions!$B$49+K18*Assumptions!$B$50+L18*Assumptions!$B$51+M18*Assumptions!$B$52+N18*Assumptions!$B$53+O18*Assumptions!$B$54)/5*100</f>
        <v>56</v>
      </c>
      <c r="Q18" s="61" t="s">
        <v>964</v>
      </c>
      <c r="R18" s="14" t="s">
        <v>965</v>
      </c>
      <c r="S18" s="59" t="str">
        <f aca="false">IF(Q18="Red","EXCLUDE – failed risk screen",IF(P18&gt;=Assumptions!$B$56,IF(Q18="Amber","SHORTLIST – with risk conditions","SHORTLIST – issue RFI"),IF(P18&gt;=Assumptions!$B$57,"RESERVE","Not shortlisted")))</f>
        <v>EXCLUDE – failed risk screen</v>
      </c>
      <c r="T18" s="14" t="s">
        <v>966</v>
      </c>
    </row>
    <row r="19" customFormat="false" ht="75" hidden="false" customHeight="true" outlineLevel="0" collapsed="false">
      <c r="A19" s="6" t="n">
        <v>15</v>
      </c>
      <c r="B19" s="14" t="s">
        <v>967</v>
      </c>
      <c r="C19" s="14" t="s">
        <v>968</v>
      </c>
      <c r="D19" s="14" t="s">
        <v>969</v>
      </c>
      <c r="E19" s="14" t="s">
        <v>970</v>
      </c>
      <c r="F19" s="14" t="s">
        <v>971</v>
      </c>
      <c r="G19" s="14" t="s">
        <v>972</v>
      </c>
      <c r="H19" s="14" t="s">
        <v>973</v>
      </c>
      <c r="I19" s="14" t="s">
        <v>866</v>
      </c>
      <c r="J19" s="16" t="n">
        <v>5</v>
      </c>
      <c r="K19" s="16" t="n">
        <v>5</v>
      </c>
      <c r="L19" s="16" t="n">
        <v>4</v>
      </c>
      <c r="M19" s="16" t="n">
        <v>2</v>
      </c>
      <c r="N19" s="16" t="n">
        <v>4</v>
      </c>
      <c r="O19" s="16" t="n">
        <v>3</v>
      </c>
      <c r="P19" s="57" t="n">
        <f aca="false">(J19*Assumptions!$B$49+K19*Assumptions!$B$50+L19*Assumptions!$B$51+M19*Assumptions!$B$52+N19*Assumptions!$B$53+O19*Assumptions!$B$54)/5*100</f>
        <v>81</v>
      </c>
      <c r="Q19" s="60" t="s">
        <v>891</v>
      </c>
      <c r="R19" s="14" t="s">
        <v>974</v>
      </c>
      <c r="S19" s="59" t="str">
        <f aca="false">IF(Q19="Red","EXCLUDE – failed risk screen",IF(P19&gt;=Assumptions!$B$56,IF(Q19="Amber","SHORTLIST – with risk conditions","SHORTLIST – issue RFI"),IF(P19&gt;=Assumptions!$B$57,"RESERVE","Not shortlisted")))</f>
        <v>SHORTLIST – with risk conditions</v>
      </c>
      <c r="T19" s="14" t="s">
        <v>975</v>
      </c>
    </row>
    <row r="20" customFormat="false" ht="75" hidden="false" customHeight="true" outlineLevel="0" collapsed="false">
      <c r="A20" s="6" t="n">
        <v>16</v>
      </c>
      <c r="B20" s="14" t="s">
        <v>967</v>
      </c>
      <c r="C20" s="14" t="s">
        <v>968</v>
      </c>
      <c r="D20" s="14" t="s">
        <v>976</v>
      </c>
      <c r="E20" s="14" t="s">
        <v>977</v>
      </c>
      <c r="F20" s="14" t="s">
        <v>978</v>
      </c>
      <c r="G20" s="14" t="s">
        <v>979</v>
      </c>
      <c r="H20" s="14" t="s">
        <v>980</v>
      </c>
      <c r="I20" s="14" t="s">
        <v>981</v>
      </c>
      <c r="J20" s="16" t="n">
        <v>4</v>
      </c>
      <c r="K20" s="16" t="n">
        <v>3</v>
      </c>
      <c r="L20" s="16" t="n">
        <v>4</v>
      </c>
      <c r="M20" s="16" t="n">
        <v>5</v>
      </c>
      <c r="N20" s="16" t="n">
        <v>4</v>
      </c>
      <c r="O20" s="16" t="n">
        <v>3</v>
      </c>
      <c r="P20" s="57" t="n">
        <f aca="false">(J20*Assumptions!$B$49+K20*Assumptions!$B$50+L20*Assumptions!$B$51+M20*Assumptions!$B$52+N20*Assumptions!$B$53+O20*Assumptions!$B$54)/5*100</f>
        <v>77</v>
      </c>
      <c r="Q20" s="58" t="s">
        <v>867</v>
      </c>
      <c r="R20" s="14" t="s">
        <v>375</v>
      </c>
      <c r="S20" s="59" t="str">
        <f aca="false">IF(Q20="Red","EXCLUDE – failed risk screen",IF(P20&gt;=Assumptions!$B$56,IF(Q20="Amber","SHORTLIST – with risk conditions","SHORTLIST – issue RFI"),IF(P20&gt;=Assumptions!$B$57,"RESERVE","Not shortlisted")))</f>
        <v>SHORTLIST – issue RFI</v>
      </c>
      <c r="T20" s="14" t="s">
        <v>982</v>
      </c>
    </row>
    <row r="21" customFormat="false" ht="75" hidden="false" customHeight="true" outlineLevel="0" collapsed="false">
      <c r="A21" s="6" t="n">
        <v>17</v>
      </c>
      <c r="B21" s="14" t="s">
        <v>983</v>
      </c>
      <c r="C21" s="14" t="s">
        <v>984</v>
      </c>
      <c r="D21" s="14" t="s">
        <v>985</v>
      </c>
      <c r="E21" s="14" t="s">
        <v>986</v>
      </c>
      <c r="F21" s="14" t="s">
        <v>987</v>
      </c>
      <c r="G21" s="14" t="s">
        <v>988</v>
      </c>
      <c r="H21" s="14" t="s">
        <v>989</v>
      </c>
      <c r="I21" s="14" t="s">
        <v>990</v>
      </c>
      <c r="J21" s="16" t="n">
        <v>4</v>
      </c>
      <c r="K21" s="16" t="n">
        <v>4</v>
      </c>
      <c r="L21" s="16" t="n">
        <v>5</v>
      </c>
      <c r="M21" s="16" t="n">
        <v>5</v>
      </c>
      <c r="N21" s="16" t="n">
        <v>5</v>
      </c>
      <c r="O21" s="16" t="n">
        <v>3</v>
      </c>
      <c r="P21" s="57" t="n">
        <f aca="false">(J21*Assumptions!$B$49+K21*Assumptions!$B$50+L21*Assumptions!$B$51+M21*Assumptions!$B$52+N21*Assumptions!$B$53+O21*Assumptions!$B$54)/5*100</f>
        <v>87</v>
      </c>
      <c r="Q21" s="58" t="s">
        <v>867</v>
      </c>
      <c r="R21" s="14" t="s">
        <v>375</v>
      </c>
      <c r="S21" s="59" t="str">
        <f aca="false">IF(Q21="Red","EXCLUDE – failed risk screen",IF(P21&gt;=Assumptions!$B$56,IF(Q21="Amber","SHORTLIST – with risk conditions","SHORTLIST – issue RFI"),IF(P21&gt;=Assumptions!$B$57,"RESERVE","Not shortlisted")))</f>
        <v>SHORTLIST – issue RFI</v>
      </c>
      <c r="T21" s="14" t="s">
        <v>991</v>
      </c>
    </row>
    <row r="22" customFormat="false" ht="75" hidden="false" customHeight="true" outlineLevel="0" collapsed="false">
      <c r="A22" s="6" t="n">
        <v>18</v>
      </c>
      <c r="B22" s="14" t="s">
        <v>983</v>
      </c>
      <c r="C22" s="14" t="s">
        <v>984</v>
      </c>
      <c r="D22" s="14" t="s">
        <v>992</v>
      </c>
      <c r="E22" s="14" t="s">
        <v>993</v>
      </c>
      <c r="F22" s="14" t="s">
        <v>994</v>
      </c>
      <c r="G22" s="14" t="s">
        <v>995</v>
      </c>
      <c r="H22" s="14" t="s">
        <v>989</v>
      </c>
      <c r="I22" s="14" t="s">
        <v>990</v>
      </c>
      <c r="J22" s="16" t="n">
        <v>4</v>
      </c>
      <c r="K22" s="16" t="n">
        <v>4</v>
      </c>
      <c r="L22" s="16" t="n">
        <v>5</v>
      </c>
      <c r="M22" s="16" t="n">
        <v>5</v>
      </c>
      <c r="N22" s="16" t="n">
        <v>5</v>
      </c>
      <c r="O22" s="16" t="n">
        <v>3</v>
      </c>
      <c r="P22" s="57" t="n">
        <f aca="false">(J22*Assumptions!$B$49+K22*Assumptions!$B$50+L22*Assumptions!$B$51+M22*Assumptions!$B$52+N22*Assumptions!$B$53+O22*Assumptions!$B$54)/5*100</f>
        <v>87</v>
      </c>
      <c r="Q22" s="58" t="s">
        <v>867</v>
      </c>
      <c r="R22" s="14" t="s">
        <v>375</v>
      </c>
      <c r="S22" s="59" t="str">
        <f aca="false">IF(Q22="Red","EXCLUDE – failed risk screen",IF(P22&gt;=Assumptions!$B$56,IF(Q22="Amber","SHORTLIST – with risk conditions","SHORTLIST – issue RFI"),IF(P22&gt;=Assumptions!$B$57,"RESERVE","Not shortlisted")))</f>
        <v>SHORTLIST – issue RFI</v>
      </c>
      <c r="T22" s="14" t="s">
        <v>996</v>
      </c>
    </row>
    <row r="23" customFormat="false" ht="75" hidden="false" customHeight="true" outlineLevel="0" collapsed="false">
      <c r="A23" s="6" t="n">
        <v>19</v>
      </c>
      <c r="B23" s="14" t="s">
        <v>983</v>
      </c>
      <c r="C23" s="14" t="s">
        <v>984</v>
      </c>
      <c r="D23" s="14" t="s">
        <v>992</v>
      </c>
      <c r="E23" s="14" t="s">
        <v>997</v>
      </c>
      <c r="F23" s="14" t="s">
        <v>998</v>
      </c>
      <c r="G23" s="14" t="s">
        <v>999</v>
      </c>
      <c r="H23" s="14" t="s">
        <v>989</v>
      </c>
      <c r="I23" s="14" t="s">
        <v>990</v>
      </c>
      <c r="J23" s="16" t="n">
        <v>4</v>
      </c>
      <c r="K23" s="16" t="n">
        <v>4</v>
      </c>
      <c r="L23" s="16" t="n">
        <v>4</v>
      </c>
      <c r="M23" s="16" t="n">
        <v>4</v>
      </c>
      <c r="N23" s="16" t="n">
        <v>4</v>
      </c>
      <c r="O23" s="16" t="n">
        <v>3</v>
      </c>
      <c r="P23" s="57" t="n">
        <f aca="false">(J23*Assumptions!$B$49+K23*Assumptions!$B$50+L23*Assumptions!$B$51+M23*Assumptions!$B$52+N23*Assumptions!$B$53+O23*Assumptions!$B$54)/5*100</f>
        <v>78</v>
      </c>
      <c r="Q23" s="58" t="s">
        <v>867</v>
      </c>
      <c r="R23" s="14" t="s">
        <v>375</v>
      </c>
      <c r="S23" s="59" t="str">
        <f aca="false">IF(Q23="Red","EXCLUDE – failed risk screen",IF(P23&gt;=Assumptions!$B$56,IF(Q23="Amber","SHORTLIST – with risk conditions","SHORTLIST – issue RFI"),IF(P23&gt;=Assumptions!$B$57,"RESERVE","Not shortlisted")))</f>
        <v>SHORTLIST – issue RFI</v>
      </c>
      <c r="T23" s="14" t="s">
        <v>1000</v>
      </c>
    </row>
    <row r="24" customFormat="false" ht="75" hidden="false" customHeight="true" outlineLevel="0" collapsed="false">
      <c r="A24" s="6" t="n">
        <v>20</v>
      </c>
      <c r="B24" s="14" t="s">
        <v>983</v>
      </c>
      <c r="C24" s="14" t="s">
        <v>984</v>
      </c>
      <c r="D24" s="14" t="s">
        <v>1001</v>
      </c>
      <c r="E24" s="14" t="s">
        <v>1002</v>
      </c>
      <c r="F24" s="14" t="s">
        <v>1003</v>
      </c>
      <c r="G24" s="14" t="s">
        <v>927</v>
      </c>
      <c r="H24" s="14" t="s">
        <v>989</v>
      </c>
      <c r="I24" s="14" t="s">
        <v>990</v>
      </c>
      <c r="J24" s="16" t="n">
        <v>4</v>
      </c>
      <c r="K24" s="16" t="n">
        <v>3</v>
      </c>
      <c r="L24" s="16" t="n">
        <v>5</v>
      </c>
      <c r="M24" s="16" t="n">
        <v>5</v>
      </c>
      <c r="N24" s="16" t="n">
        <v>4</v>
      </c>
      <c r="O24" s="16" t="n">
        <v>3</v>
      </c>
      <c r="P24" s="57" t="n">
        <f aca="false">(J24*Assumptions!$B$49+K24*Assumptions!$B$50+L24*Assumptions!$B$51+M24*Assumptions!$B$52+N24*Assumptions!$B$53+O24*Assumptions!$B$54)/5*100</f>
        <v>81</v>
      </c>
      <c r="Q24" s="58" t="s">
        <v>867</v>
      </c>
      <c r="R24" s="14" t="s">
        <v>375</v>
      </c>
      <c r="S24" s="59" t="str">
        <f aca="false">IF(Q24="Red","EXCLUDE – failed risk screen",IF(P24&gt;=Assumptions!$B$56,IF(Q24="Amber","SHORTLIST – with risk conditions","SHORTLIST – issue RFI"),IF(P24&gt;=Assumptions!$B$57,"RESERVE","Not shortlisted")))</f>
        <v>SHORTLIST – issue RFI</v>
      </c>
      <c r="T24" s="14" t="s">
        <v>1004</v>
      </c>
    </row>
    <row r="25" customFormat="false" ht="75" hidden="false" customHeight="true" outlineLevel="0" collapsed="false">
      <c r="A25" s="6" t="n">
        <v>21</v>
      </c>
      <c r="B25" s="14" t="s">
        <v>983</v>
      </c>
      <c r="C25" s="14" t="s">
        <v>984</v>
      </c>
      <c r="D25" s="14" t="s">
        <v>992</v>
      </c>
      <c r="E25" s="14" t="s">
        <v>1005</v>
      </c>
      <c r="F25" s="14" t="s">
        <v>1006</v>
      </c>
      <c r="G25" s="14" t="s">
        <v>1007</v>
      </c>
      <c r="H25" s="14" t="s">
        <v>1008</v>
      </c>
      <c r="I25" s="14" t="s">
        <v>1009</v>
      </c>
      <c r="J25" s="16" t="n">
        <v>4</v>
      </c>
      <c r="K25" s="16" t="n">
        <v>4</v>
      </c>
      <c r="L25" s="16" t="n">
        <v>4</v>
      </c>
      <c r="M25" s="16" t="n">
        <v>3</v>
      </c>
      <c r="N25" s="16" t="n">
        <v>4</v>
      </c>
      <c r="O25" s="16" t="n">
        <v>3</v>
      </c>
      <c r="P25" s="57" t="n">
        <f aca="false">(J25*Assumptions!$B$49+K25*Assumptions!$B$50+L25*Assumptions!$B$51+M25*Assumptions!$B$52+N25*Assumptions!$B$53+O25*Assumptions!$B$54)/5*100</f>
        <v>75</v>
      </c>
      <c r="Q25" s="58" t="s">
        <v>867</v>
      </c>
      <c r="R25" s="14" t="s">
        <v>375</v>
      </c>
      <c r="S25" s="59" t="str">
        <f aca="false">IF(Q25="Red","EXCLUDE – failed risk screen",IF(P25&gt;=Assumptions!$B$56,IF(Q25="Amber","SHORTLIST – with risk conditions","SHORTLIST – issue RFI"),IF(P25&gt;=Assumptions!$B$57,"RESERVE","Not shortlisted")))</f>
        <v>SHORTLIST – issue RFI</v>
      </c>
      <c r="T25" s="14" t="s">
        <v>1010</v>
      </c>
    </row>
    <row r="26" customFormat="false" ht="75" hidden="false" customHeight="true" outlineLevel="0" collapsed="false">
      <c r="A26" s="6" t="n">
        <v>22</v>
      </c>
      <c r="B26" s="14" t="s">
        <v>1011</v>
      </c>
      <c r="C26" s="14" t="s">
        <v>282</v>
      </c>
      <c r="D26" s="14" t="s">
        <v>1012</v>
      </c>
      <c r="E26" s="14" t="s">
        <v>1013</v>
      </c>
      <c r="F26" s="14" t="s">
        <v>1014</v>
      </c>
      <c r="G26" s="14" t="s">
        <v>1015</v>
      </c>
      <c r="H26" s="14" t="s">
        <v>1016</v>
      </c>
      <c r="I26" s="14" t="s">
        <v>866</v>
      </c>
      <c r="J26" s="16" t="n">
        <v>5</v>
      </c>
      <c r="K26" s="16" t="n">
        <v>5</v>
      </c>
      <c r="L26" s="16" t="n">
        <v>3</v>
      </c>
      <c r="M26" s="16" t="n">
        <v>4</v>
      </c>
      <c r="N26" s="16" t="n">
        <v>5</v>
      </c>
      <c r="O26" s="16" t="n">
        <v>2</v>
      </c>
      <c r="P26" s="57" t="n">
        <f aca="false">(J26*Assumptions!$B$49+K26*Assumptions!$B$50+L26*Assumptions!$B$51+M26*Assumptions!$B$52+N26*Assumptions!$B$53+O26*Assumptions!$B$54)/5*100</f>
        <v>83</v>
      </c>
      <c r="Q26" s="58" t="s">
        <v>867</v>
      </c>
      <c r="R26" s="14" t="s">
        <v>375</v>
      </c>
      <c r="S26" s="59" t="str">
        <f aca="false">IF(Q26="Red","EXCLUDE – failed risk screen",IF(P26&gt;=Assumptions!$B$56,IF(Q26="Amber","SHORTLIST – with risk conditions","SHORTLIST – issue RFI"),IF(P26&gt;=Assumptions!$B$57,"RESERVE","Not shortlisted")))</f>
        <v>SHORTLIST – issue RFI</v>
      </c>
      <c r="T26" s="14" t="s">
        <v>1017</v>
      </c>
    </row>
    <row r="27" customFormat="false" ht="75" hidden="false" customHeight="true" outlineLevel="0" collapsed="false">
      <c r="A27" s="6" t="n">
        <v>23</v>
      </c>
      <c r="B27" s="14" t="s">
        <v>1011</v>
      </c>
      <c r="C27" s="14" t="s">
        <v>282</v>
      </c>
      <c r="D27" s="14" t="s">
        <v>958</v>
      </c>
      <c r="E27" s="14" t="s">
        <v>1018</v>
      </c>
      <c r="F27" s="14" t="s">
        <v>1019</v>
      </c>
      <c r="G27" s="14" t="s">
        <v>1020</v>
      </c>
      <c r="H27" s="14" t="s">
        <v>1021</v>
      </c>
      <c r="I27" s="14" t="s">
        <v>866</v>
      </c>
      <c r="J27" s="16" t="n">
        <v>5</v>
      </c>
      <c r="K27" s="16" t="n">
        <v>4</v>
      </c>
      <c r="L27" s="16" t="n">
        <v>3</v>
      </c>
      <c r="M27" s="16" t="n">
        <v>4</v>
      </c>
      <c r="N27" s="16" t="n">
        <v>4</v>
      </c>
      <c r="O27" s="16" t="n">
        <v>2</v>
      </c>
      <c r="P27" s="57" t="n">
        <f aca="false">(J27*Assumptions!$B$49+K27*Assumptions!$B$50+L27*Assumptions!$B$51+M27*Assumptions!$B$52+N27*Assumptions!$B$53+O27*Assumptions!$B$54)/5*100</f>
        <v>77</v>
      </c>
      <c r="Q27" s="58" t="s">
        <v>867</v>
      </c>
      <c r="R27" s="14" t="s">
        <v>375</v>
      </c>
      <c r="S27" s="59" t="str">
        <f aca="false">IF(Q27="Red","EXCLUDE – failed risk screen",IF(P27&gt;=Assumptions!$B$56,IF(Q27="Amber","SHORTLIST – with risk conditions","SHORTLIST – issue RFI"),IF(P27&gt;=Assumptions!$B$57,"RESERVE","Not shortlisted")))</f>
        <v>SHORTLIST – issue RFI</v>
      </c>
      <c r="T27" s="14" t="s">
        <v>1022</v>
      </c>
    </row>
    <row r="28" customFormat="false" ht="75" hidden="false" customHeight="true" outlineLevel="0" collapsed="false">
      <c r="A28" s="6" t="n">
        <v>24</v>
      </c>
      <c r="B28" s="14" t="s">
        <v>1023</v>
      </c>
      <c r="C28" s="14" t="s">
        <v>1024</v>
      </c>
      <c r="D28" s="14" t="s">
        <v>931</v>
      </c>
      <c r="E28" s="14" t="s">
        <v>1025</v>
      </c>
      <c r="F28" s="14" t="s">
        <v>1026</v>
      </c>
      <c r="G28" s="14" t="s">
        <v>1027</v>
      </c>
      <c r="H28" s="14" t="s">
        <v>1028</v>
      </c>
      <c r="I28" s="14" t="s">
        <v>1029</v>
      </c>
      <c r="J28" s="16" t="n">
        <v>5</v>
      </c>
      <c r="K28" s="16" t="n">
        <v>4</v>
      </c>
      <c r="L28" s="16" t="n">
        <v>5</v>
      </c>
      <c r="M28" s="16" t="n">
        <v>5</v>
      </c>
      <c r="N28" s="16" t="n">
        <v>5</v>
      </c>
      <c r="O28" s="16" t="n">
        <v>3</v>
      </c>
      <c r="P28" s="57" t="n">
        <f aca="false">(J28*Assumptions!$B$49+K28*Assumptions!$B$50+L28*Assumptions!$B$51+M28*Assumptions!$B$52+N28*Assumptions!$B$53+O28*Assumptions!$B$54)/5*100</f>
        <v>92</v>
      </c>
      <c r="Q28" s="60" t="s">
        <v>891</v>
      </c>
      <c r="R28" s="14" t="s">
        <v>1030</v>
      </c>
      <c r="S28" s="59" t="str">
        <f aca="false">IF(Q28="Red","EXCLUDE – failed risk screen",IF(P28&gt;=Assumptions!$B$56,IF(Q28="Amber","SHORTLIST – with risk conditions","SHORTLIST – issue RFI"),IF(P28&gt;=Assumptions!$B$57,"RESERVE","Not shortlisted")))</f>
        <v>SHORTLIST – with risk conditions</v>
      </c>
      <c r="T28" s="14" t="s">
        <v>1031</v>
      </c>
    </row>
    <row r="29" customFormat="false" ht="75" hidden="false" customHeight="true" outlineLevel="0" collapsed="false">
      <c r="A29" s="6" t="n">
        <v>25</v>
      </c>
      <c r="B29" s="14" t="s">
        <v>1023</v>
      </c>
      <c r="C29" s="14" t="s">
        <v>1024</v>
      </c>
      <c r="D29" s="14" t="s">
        <v>931</v>
      </c>
      <c r="E29" s="14" t="s">
        <v>1032</v>
      </c>
      <c r="F29" s="14" t="s">
        <v>1033</v>
      </c>
      <c r="G29" s="14" t="s">
        <v>1034</v>
      </c>
      <c r="H29" s="14" t="s">
        <v>989</v>
      </c>
      <c r="I29" s="14" t="s">
        <v>990</v>
      </c>
      <c r="J29" s="16" t="n">
        <v>4</v>
      </c>
      <c r="K29" s="16" t="n">
        <v>4</v>
      </c>
      <c r="L29" s="16" t="n">
        <v>4</v>
      </c>
      <c r="M29" s="16" t="n">
        <v>4</v>
      </c>
      <c r="N29" s="16" t="n">
        <v>4</v>
      </c>
      <c r="O29" s="16" t="n">
        <v>3</v>
      </c>
      <c r="P29" s="57" t="n">
        <f aca="false">(J29*Assumptions!$B$49+K29*Assumptions!$B$50+L29*Assumptions!$B$51+M29*Assumptions!$B$52+N29*Assumptions!$B$53+O29*Assumptions!$B$54)/5*100</f>
        <v>78</v>
      </c>
      <c r="Q29" s="58" t="s">
        <v>867</v>
      </c>
      <c r="R29" s="14" t="s">
        <v>375</v>
      </c>
      <c r="S29" s="59" t="str">
        <f aca="false">IF(Q29="Red","EXCLUDE – failed risk screen",IF(P29&gt;=Assumptions!$B$56,IF(Q29="Amber","SHORTLIST – with risk conditions","SHORTLIST – issue RFI"),IF(P29&gt;=Assumptions!$B$57,"RESERVE","Not shortlisted")))</f>
        <v>SHORTLIST – issue RFI</v>
      </c>
      <c r="T29" s="14" t="s">
        <v>1035</v>
      </c>
    </row>
    <row r="30" customFormat="false" ht="75" hidden="false" customHeight="true" outlineLevel="0" collapsed="false">
      <c r="A30" s="6" t="n">
        <v>26</v>
      </c>
      <c r="B30" s="14" t="s">
        <v>1036</v>
      </c>
      <c r="C30" s="14" t="s">
        <v>1037</v>
      </c>
      <c r="D30" s="14" t="s">
        <v>1038</v>
      </c>
      <c r="E30" s="14" t="s">
        <v>1039</v>
      </c>
      <c r="F30" s="14" t="s">
        <v>1040</v>
      </c>
      <c r="G30" s="14" t="s">
        <v>1041</v>
      </c>
      <c r="H30" s="14" t="s">
        <v>1042</v>
      </c>
      <c r="I30" s="14" t="s">
        <v>1043</v>
      </c>
      <c r="J30" s="16" t="n">
        <v>4</v>
      </c>
      <c r="K30" s="16" t="n">
        <v>5</v>
      </c>
      <c r="L30" s="16" t="n">
        <v>4</v>
      </c>
      <c r="M30" s="16" t="n">
        <v>5</v>
      </c>
      <c r="N30" s="16" t="n">
        <v>5</v>
      </c>
      <c r="O30" s="16" t="n">
        <v>1</v>
      </c>
      <c r="P30" s="57" t="n">
        <f aca="false">(J30*Assumptions!$B$49+K30*Assumptions!$B$50+L30*Assumptions!$B$51+M30*Assumptions!$B$52+N30*Assumptions!$B$53+O30*Assumptions!$B$54)/5*100</f>
        <v>83</v>
      </c>
      <c r="Q30" s="58" t="s">
        <v>867</v>
      </c>
      <c r="R30" s="14" t="s">
        <v>375</v>
      </c>
      <c r="S30" s="59" t="str">
        <f aca="false">IF(Q30="Red","EXCLUDE – failed risk screen",IF(P30&gt;=Assumptions!$B$56,IF(Q30="Amber","SHORTLIST – with risk conditions","SHORTLIST – issue RFI"),IF(P30&gt;=Assumptions!$B$57,"RESERVE","Not shortlisted")))</f>
        <v>SHORTLIST – issue RFI</v>
      </c>
      <c r="T30" s="14" t="s">
        <v>1044</v>
      </c>
    </row>
    <row r="31" customFormat="false" ht="75" hidden="false" customHeight="true" outlineLevel="0" collapsed="false">
      <c r="A31" s="6" t="n">
        <v>27</v>
      </c>
      <c r="B31" s="14" t="s">
        <v>1045</v>
      </c>
      <c r="C31" s="14" t="s">
        <v>1046</v>
      </c>
      <c r="D31" s="14" t="s">
        <v>1047</v>
      </c>
      <c r="E31" s="14" t="s">
        <v>1048</v>
      </c>
      <c r="F31" s="14" t="s">
        <v>1049</v>
      </c>
      <c r="G31" s="14" t="s">
        <v>927</v>
      </c>
      <c r="H31" s="14" t="s">
        <v>989</v>
      </c>
      <c r="I31" s="14" t="s">
        <v>990</v>
      </c>
      <c r="J31" s="16" t="n">
        <v>4</v>
      </c>
      <c r="K31" s="16" t="n">
        <v>5</v>
      </c>
      <c r="L31" s="16" t="n">
        <v>4</v>
      </c>
      <c r="M31" s="16" t="n">
        <v>5</v>
      </c>
      <c r="N31" s="16" t="n">
        <v>5</v>
      </c>
      <c r="O31" s="16" t="n">
        <v>2</v>
      </c>
      <c r="P31" s="57" t="n">
        <f aca="false">(J31*Assumptions!$B$49+K31*Assumptions!$B$50+L31*Assumptions!$B$51+M31*Assumptions!$B$52+N31*Assumptions!$B$53+O31*Assumptions!$B$54)/5*100</f>
        <v>85</v>
      </c>
      <c r="Q31" s="58" t="s">
        <v>867</v>
      </c>
      <c r="R31" s="14" t="s">
        <v>375</v>
      </c>
      <c r="S31" s="59" t="str">
        <f aca="false">IF(Q31="Red","EXCLUDE – failed risk screen",IF(P31&gt;=Assumptions!$B$56,IF(Q31="Amber","SHORTLIST – with risk conditions","SHORTLIST – issue RFI"),IF(P31&gt;=Assumptions!$B$57,"RESERVE","Not shortlisted")))</f>
        <v>SHORTLIST – issue RFI</v>
      </c>
      <c r="T31" s="14" t="s">
        <v>1050</v>
      </c>
    </row>
    <row r="32" customFormat="false" ht="75" hidden="false" customHeight="true" outlineLevel="0" collapsed="false">
      <c r="A32" s="6" t="n">
        <v>28</v>
      </c>
      <c r="B32" s="14" t="s">
        <v>1051</v>
      </c>
      <c r="C32" s="14" t="s">
        <v>273</v>
      </c>
      <c r="D32" s="14" t="s">
        <v>1052</v>
      </c>
      <c r="E32" s="14" t="s">
        <v>1053</v>
      </c>
      <c r="F32" s="14" t="s">
        <v>1054</v>
      </c>
      <c r="G32" s="14" t="s">
        <v>897</v>
      </c>
      <c r="H32" s="14" t="s">
        <v>1055</v>
      </c>
      <c r="I32" s="14" t="s">
        <v>1056</v>
      </c>
      <c r="J32" s="16" t="n">
        <v>4</v>
      </c>
      <c r="K32" s="16" t="n">
        <v>4</v>
      </c>
      <c r="L32" s="16" t="n">
        <v>3</v>
      </c>
      <c r="M32" s="16" t="n">
        <v>3</v>
      </c>
      <c r="N32" s="16" t="n">
        <v>4</v>
      </c>
      <c r="O32" s="16" t="n">
        <v>3</v>
      </c>
      <c r="P32" s="57" t="n">
        <f aca="false">(J32*Assumptions!$B$49+K32*Assumptions!$B$50+L32*Assumptions!$B$51+M32*Assumptions!$B$52+N32*Assumptions!$B$53+O32*Assumptions!$B$54)/5*100</f>
        <v>71</v>
      </c>
      <c r="Q32" s="58" t="s">
        <v>867</v>
      </c>
      <c r="R32" s="14" t="s">
        <v>375</v>
      </c>
      <c r="S32" s="59" t="str">
        <f aca="false">IF(Q32="Red","EXCLUDE – failed risk screen",IF(P32&gt;=Assumptions!$B$56,IF(Q32="Amber","SHORTLIST – with risk conditions","SHORTLIST – issue RFI"),IF(P32&gt;=Assumptions!$B$57,"RESERVE","Not shortlisted")))</f>
        <v>RESERVE</v>
      </c>
      <c r="T32" s="14" t="s">
        <v>1057</v>
      </c>
    </row>
    <row r="34" customFormat="false" ht="48" hidden="false" customHeight="true" outlineLevel="0" collapsed="false">
      <c r="A34" s="54" t="s">
        <v>1058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</sheetData>
  <mergeCells count="1">
    <mergeCell ref="A34:T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34"/>
    <col collapsed="false" customWidth="true" hidden="false" outlineLevel="0" max="7" min="7" style="0" width="7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1059</v>
      </c>
    </row>
    <row r="2" customFormat="false" ht="15" hidden="false" customHeight="false" outlineLevel="0" collapsed="false">
      <c r="A2" s="12" t="s">
        <v>1060</v>
      </c>
    </row>
    <row r="4" customFormat="false" ht="35.05" hidden="false" customHeight="false" outlineLevel="0" collapsed="false">
      <c r="A4" s="5" t="s">
        <v>840</v>
      </c>
      <c r="B4" s="5" t="s">
        <v>1061</v>
      </c>
      <c r="C4" s="5" t="s">
        <v>1062</v>
      </c>
      <c r="D4" s="5" t="s">
        <v>1063</v>
      </c>
      <c r="E4" s="5" t="s">
        <v>754</v>
      </c>
      <c r="F4" s="5" t="s">
        <v>1064</v>
      </c>
      <c r="G4" s="5" t="s">
        <v>1065</v>
      </c>
      <c r="H4" s="5" t="s">
        <v>1066</v>
      </c>
    </row>
    <row r="5" customFormat="false" ht="48" hidden="false" customHeight="true" outlineLevel="0" collapsed="false">
      <c r="A5" s="6" t="n">
        <v>1</v>
      </c>
      <c r="B5" s="26" t="s">
        <v>1067</v>
      </c>
      <c r="C5" s="14" t="s">
        <v>1068</v>
      </c>
      <c r="D5" s="14" t="s">
        <v>1069</v>
      </c>
      <c r="E5" s="14" t="s">
        <v>1070</v>
      </c>
      <c r="F5" s="14" t="s">
        <v>1071</v>
      </c>
      <c r="G5" s="14" t="s">
        <v>1072</v>
      </c>
      <c r="H5" s="10" t="n">
        <f aca="false">Scorecard!AK15</f>
        <v>1080</v>
      </c>
    </row>
    <row r="6" customFormat="false" ht="48" hidden="false" customHeight="true" outlineLevel="0" collapsed="false">
      <c r="A6" s="6" t="n">
        <v>2</v>
      </c>
      <c r="B6" s="26" t="s">
        <v>1067</v>
      </c>
      <c r="C6" s="14" t="s">
        <v>1073</v>
      </c>
      <c r="D6" s="14" t="s">
        <v>1074</v>
      </c>
      <c r="E6" s="14" t="s">
        <v>1075</v>
      </c>
      <c r="F6" s="14" t="s">
        <v>1076</v>
      </c>
      <c r="G6" s="14" t="s">
        <v>1072</v>
      </c>
      <c r="H6" s="10" t="n">
        <f aca="false">Scorecard!AK21</f>
        <v>264</v>
      </c>
    </row>
    <row r="7" customFormat="false" ht="48" hidden="false" customHeight="true" outlineLevel="0" collapsed="false">
      <c r="A7" s="6" t="n">
        <v>3</v>
      </c>
      <c r="B7" s="26" t="s">
        <v>1067</v>
      </c>
      <c r="C7" s="14" t="s">
        <v>1077</v>
      </c>
      <c r="D7" s="14" t="s">
        <v>1078</v>
      </c>
      <c r="E7" s="14" t="s">
        <v>1079</v>
      </c>
      <c r="F7" s="14" t="s">
        <v>1080</v>
      </c>
      <c r="G7" s="14" t="s">
        <v>1072</v>
      </c>
      <c r="H7" s="10" t="n">
        <f aca="false">Scorecard!AK25</f>
        <v>1080</v>
      </c>
    </row>
    <row r="8" customFormat="false" ht="48" hidden="false" customHeight="true" outlineLevel="0" collapsed="false">
      <c r="A8" s="6" t="n">
        <v>4</v>
      </c>
      <c r="B8" s="26" t="s">
        <v>1067</v>
      </c>
      <c r="C8" s="14" t="s">
        <v>1081</v>
      </c>
      <c r="D8" s="14" t="s">
        <v>1082</v>
      </c>
      <c r="E8" s="14" t="s">
        <v>812</v>
      </c>
      <c r="F8" s="14" t="s">
        <v>1083</v>
      </c>
      <c r="G8" s="14" t="s">
        <v>1072</v>
      </c>
      <c r="H8" s="10" t="s">
        <v>375</v>
      </c>
    </row>
    <row r="9" customFormat="false" ht="48" hidden="false" customHeight="true" outlineLevel="0" collapsed="false">
      <c r="A9" s="6" t="n">
        <v>5</v>
      </c>
      <c r="B9" s="26" t="s">
        <v>1084</v>
      </c>
      <c r="C9" s="14" t="s">
        <v>1085</v>
      </c>
      <c r="D9" s="14" t="s">
        <v>1086</v>
      </c>
      <c r="E9" s="14" t="s">
        <v>1087</v>
      </c>
      <c r="F9" s="14" t="s">
        <v>1088</v>
      </c>
      <c r="G9" s="14" t="s">
        <v>1089</v>
      </c>
      <c r="H9" s="10" t="n">
        <f aca="false">Scorecard!AK21</f>
        <v>264</v>
      </c>
    </row>
    <row r="10" customFormat="false" ht="48" hidden="false" customHeight="true" outlineLevel="0" collapsed="false">
      <c r="A10" s="6" t="n">
        <v>6</v>
      </c>
      <c r="B10" s="26" t="s">
        <v>1084</v>
      </c>
      <c r="C10" s="14" t="s">
        <v>1090</v>
      </c>
      <c r="D10" s="14" t="s">
        <v>1091</v>
      </c>
      <c r="E10" s="14" t="s">
        <v>1092</v>
      </c>
      <c r="F10" s="14" t="s">
        <v>1093</v>
      </c>
      <c r="G10" s="14" t="s">
        <v>1089</v>
      </c>
      <c r="H10" s="10" t="n">
        <f aca="false">Scorecard!AK8</f>
        <v>360</v>
      </c>
    </row>
    <row r="11" customFormat="false" ht="48" hidden="false" customHeight="true" outlineLevel="0" collapsed="false">
      <c r="A11" s="6" t="n">
        <v>7</v>
      </c>
      <c r="B11" s="26" t="s">
        <v>1084</v>
      </c>
      <c r="C11" s="14" t="s">
        <v>1094</v>
      </c>
      <c r="D11" s="14" t="s">
        <v>1095</v>
      </c>
      <c r="E11" s="14" t="s">
        <v>1096</v>
      </c>
      <c r="F11" s="14" t="s">
        <v>1097</v>
      </c>
      <c r="G11" s="14" t="s">
        <v>1089</v>
      </c>
      <c r="H11" s="10" t="n">
        <f aca="false">Scorecard!AK15</f>
        <v>1080</v>
      </c>
    </row>
    <row r="12" customFormat="false" ht="48" hidden="false" customHeight="true" outlineLevel="0" collapsed="false">
      <c r="A12" s="6" t="n">
        <v>8</v>
      </c>
      <c r="B12" s="26" t="s">
        <v>1084</v>
      </c>
      <c r="C12" s="14" t="s">
        <v>1098</v>
      </c>
      <c r="D12" s="14" t="s">
        <v>1099</v>
      </c>
      <c r="E12" s="14" t="s">
        <v>1092</v>
      </c>
      <c r="F12" s="14" t="s">
        <v>1100</v>
      </c>
      <c r="G12" s="14" t="s">
        <v>1089</v>
      </c>
      <c r="H12" s="10" t="n">
        <f aca="false">Scorecard!AK16</f>
        <v>360</v>
      </c>
    </row>
    <row r="13" customFormat="false" ht="48" hidden="false" customHeight="true" outlineLevel="0" collapsed="false">
      <c r="A13" s="6" t="n">
        <v>9</v>
      </c>
      <c r="B13" s="26" t="s">
        <v>1084</v>
      </c>
      <c r="C13" s="14" t="s">
        <v>1101</v>
      </c>
      <c r="D13" s="14" t="s">
        <v>1102</v>
      </c>
      <c r="E13" s="14" t="s">
        <v>1103</v>
      </c>
      <c r="F13" s="14" t="s">
        <v>1104</v>
      </c>
      <c r="G13" s="14" t="s">
        <v>1072</v>
      </c>
      <c r="H13" s="10" t="n">
        <f aca="false">Scorecard!AK8</f>
        <v>360</v>
      </c>
    </row>
    <row r="14" customFormat="false" ht="48" hidden="false" customHeight="true" outlineLevel="0" collapsed="false">
      <c r="A14" s="6" t="n">
        <v>10</v>
      </c>
      <c r="B14" s="26" t="s">
        <v>1105</v>
      </c>
      <c r="C14" s="14" t="s">
        <v>1106</v>
      </c>
      <c r="D14" s="14" t="s">
        <v>1107</v>
      </c>
      <c r="E14" s="14" t="s">
        <v>1108</v>
      </c>
      <c r="F14" s="14" t="s">
        <v>1109</v>
      </c>
      <c r="G14" s="14" t="s">
        <v>1110</v>
      </c>
      <c r="H14" s="10" t="n">
        <f aca="false">Scorecard!AK14</f>
        <v>480</v>
      </c>
    </row>
    <row r="15" customFormat="false" ht="48" hidden="false" customHeight="true" outlineLevel="0" collapsed="false">
      <c r="A15" s="6" t="n">
        <v>11</v>
      </c>
      <c r="B15" s="26" t="s">
        <v>1105</v>
      </c>
      <c r="C15" s="14" t="s">
        <v>1111</v>
      </c>
      <c r="D15" s="14" t="s">
        <v>1112</v>
      </c>
      <c r="E15" s="14" t="s">
        <v>1113</v>
      </c>
      <c r="F15" s="14" t="s">
        <v>1114</v>
      </c>
      <c r="G15" s="14" t="s">
        <v>1089</v>
      </c>
      <c r="H15" s="10" t="n">
        <f aca="false">Scorecard!AK17</f>
        <v>780</v>
      </c>
    </row>
    <row r="16" customFormat="false" ht="48" hidden="false" customHeight="true" outlineLevel="0" collapsed="false">
      <c r="A16" s="6" t="n">
        <v>12</v>
      </c>
      <c r="B16" s="26" t="s">
        <v>1105</v>
      </c>
      <c r="C16" s="14" t="s">
        <v>1115</v>
      </c>
      <c r="D16" s="14" t="s">
        <v>1116</v>
      </c>
      <c r="E16" s="14" t="s">
        <v>1092</v>
      </c>
      <c r="F16" s="14" t="s">
        <v>1117</v>
      </c>
      <c r="G16" s="14" t="s">
        <v>1072</v>
      </c>
      <c r="H16" s="10" t="n">
        <f aca="false">Scorecard!AK12</f>
        <v>76.8</v>
      </c>
    </row>
    <row r="17" customFormat="false" ht="48" hidden="false" customHeight="true" outlineLevel="0" collapsed="false">
      <c r="A17" s="6" t="n">
        <v>13</v>
      </c>
      <c r="B17" s="26" t="s">
        <v>1105</v>
      </c>
      <c r="C17" s="14" t="s">
        <v>1118</v>
      </c>
      <c r="D17" s="14" t="s">
        <v>1119</v>
      </c>
      <c r="E17" s="14" t="s">
        <v>1120</v>
      </c>
      <c r="F17" s="14" t="s">
        <v>1121</v>
      </c>
      <c r="G17" s="14" t="s">
        <v>1072</v>
      </c>
      <c r="H17" s="10" t="s">
        <v>375</v>
      </c>
    </row>
    <row r="18" customFormat="false" ht="48" hidden="false" customHeight="true" outlineLevel="0" collapsed="false">
      <c r="A18" s="6" t="n">
        <v>14</v>
      </c>
      <c r="B18" s="26" t="s">
        <v>1122</v>
      </c>
      <c r="C18" s="14" t="s">
        <v>1123</v>
      </c>
      <c r="D18" s="14" t="s">
        <v>1124</v>
      </c>
      <c r="E18" s="14" t="s">
        <v>1125</v>
      </c>
      <c r="F18" s="14" t="s">
        <v>1126</v>
      </c>
      <c r="G18" s="14" t="s">
        <v>1072</v>
      </c>
      <c r="H18" s="10" t="s">
        <v>375</v>
      </c>
    </row>
    <row r="20" customFormat="false" ht="15" hidden="false" customHeight="false" outlineLevel="0" collapsed="false">
      <c r="A20" s="48" t="s">
        <v>1127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44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8"/>
  </cols>
  <sheetData>
    <row r="1" customFormat="false" ht="17.35" hidden="false" customHeight="false" outlineLevel="0" collapsed="false">
      <c r="A1" s="1" t="s">
        <v>1128</v>
      </c>
    </row>
    <row r="2" customFormat="false" ht="15" hidden="false" customHeight="false" outlineLevel="0" collapsed="false">
      <c r="A2" s="12" t="s">
        <v>1129</v>
      </c>
    </row>
    <row r="4" customFormat="false" ht="15" hidden="false" customHeight="false" outlineLevel="0" collapsed="false">
      <c r="A4" s="5" t="s">
        <v>840</v>
      </c>
      <c r="B4" s="5" t="s">
        <v>1130</v>
      </c>
      <c r="C4" s="5" t="s">
        <v>1131</v>
      </c>
      <c r="D4" s="5" t="s">
        <v>708</v>
      </c>
      <c r="E4" s="5" t="s">
        <v>1132</v>
      </c>
      <c r="F4" s="5" t="s">
        <v>754</v>
      </c>
      <c r="G4" s="5" t="s">
        <v>9</v>
      </c>
    </row>
    <row r="5" customFormat="false" ht="31.5" hidden="false" customHeight="true" outlineLevel="0" collapsed="false">
      <c r="A5" s="6" t="n">
        <v>1</v>
      </c>
      <c r="B5" s="14" t="s">
        <v>1133</v>
      </c>
      <c r="C5" s="14" t="s">
        <v>1134</v>
      </c>
      <c r="D5" s="14" t="s">
        <v>1135</v>
      </c>
      <c r="E5" s="14" t="s">
        <v>1136</v>
      </c>
      <c r="F5" s="14" t="s">
        <v>1137</v>
      </c>
      <c r="G5" s="14" t="s">
        <v>186</v>
      </c>
    </row>
    <row r="6" customFormat="false" ht="31.5" hidden="false" customHeight="true" outlineLevel="0" collapsed="false">
      <c r="A6" s="6" t="n">
        <v>2</v>
      </c>
      <c r="B6" s="14" t="s">
        <v>1138</v>
      </c>
      <c r="C6" s="14" t="s">
        <v>1139</v>
      </c>
      <c r="D6" s="14" t="s">
        <v>1140</v>
      </c>
      <c r="E6" s="14" t="s">
        <v>1141</v>
      </c>
      <c r="F6" s="14" t="s">
        <v>1142</v>
      </c>
      <c r="G6" s="14" t="s">
        <v>186</v>
      </c>
    </row>
    <row r="7" customFormat="false" ht="31.5" hidden="false" customHeight="true" outlineLevel="0" collapsed="false">
      <c r="A7" s="6" t="n">
        <v>3</v>
      </c>
      <c r="B7" s="14" t="s">
        <v>1143</v>
      </c>
      <c r="C7" s="14" t="s">
        <v>1144</v>
      </c>
      <c r="D7" s="14" t="s">
        <v>1145</v>
      </c>
      <c r="E7" s="14" t="s">
        <v>1146</v>
      </c>
      <c r="F7" s="14" t="s">
        <v>1147</v>
      </c>
      <c r="G7" s="14" t="s">
        <v>186</v>
      </c>
    </row>
    <row r="8" customFormat="false" ht="31.5" hidden="false" customHeight="true" outlineLevel="0" collapsed="false">
      <c r="A8" s="6" t="n">
        <v>4</v>
      </c>
      <c r="B8" s="14" t="s">
        <v>1148</v>
      </c>
      <c r="C8" s="14" t="s">
        <v>1149</v>
      </c>
      <c r="D8" s="14" t="s">
        <v>1150</v>
      </c>
      <c r="E8" s="14" t="s">
        <v>1151</v>
      </c>
      <c r="F8" s="14" t="s">
        <v>1152</v>
      </c>
      <c r="G8" s="14" t="s">
        <v>186</v>
      </c>
    </row>
    <row r="9" customFormat="false" ht="31.5" hidden="false" customHeight="true" outlineLevel="0" collapsed="false">
      <c r="A9" s="6" t="n">
        <v>5</v>
      </c>
      <c r="B9" s="14" t="s">
        <v>1153</v>
      </c>
      <c r="C9" s="14" t="s">
        <v>1154</v>
      </c>
      <c r="D9" s="14" t="s">
        <v>1155</v>
      </c>
      <c r="E9" s="14" t="s">
        <v>1156</v>
      </c>
      <c r="F9" s="14" t="s">
        <v>830</v>
      </c>
      <c r="G9" s="14" t="s">
        <v>187</v>
      </c>
    </row>
    <row r="10" customFormat="false" ht="31.5" hidden="false" customHeight="true" outlineLevel="0" collapsed="false">
      <c r="A10" s="6" t="n">
        <v>6</v>
      </c>
      <c r="B10" s="14" t="s">
        <v>1157</v>
      </c>
      <c r="C10" s="14" t="s">
        <v>1158</v>
      </c>
      <c r="D10" s="14" t="s">
        <v>1159</v>
      </c>
      <c r="E10" s="14" t="s">
        <v>1160</v>
      </c>
      <c r="F10" s="14" t="s">
        <v>1161</v>
      </c>
      <c r="G10" s="14" t="s">
        <v>187</v>
      </c>
    </row>
    <row r="11" customFormat="false" ht="31.5" hidden="false" customHeight="true" outlineLevel="0" collapsed="false">
      <c r="A11" s="6" t="n">
        <v>7</v>
      </c>
      <c r="B11" s="14" t="s">
        <v>1162</v>
      </c>
      <c r="C11" s="14" t="s">
        <v>1163</v>
      </c>
      <c r="D11" s="14" t="s">
        <v>1164</v>
      </c>
      <c r="E11" s="14" t="s">
        <v>1165</v>
      </c>
      <c r="F11" s="14" t="s">
        <v>774</v>
      </c>
      <c r="G11" s="14" t="s">
        <v>187</v>
      </c>
    </row>
    <row r="12" customFormat="false" ht="31.5" hidden="false" customHeight="true" outlineLevel="0" collapsed="false">
      <c r="A12" s="6" t="n">
        <v>8</v>
      </c>
      <c r="B12" s="14" t="s">
        <v>1166</v>
      </c>
      <c r="C12" s="14" t="s">
        <v>1167</v>
      </c>
      <c r="D12" s="14" t="s">
        <v>1168</v>
      </c>
      <c r="E12" s="14" t="s">
        <v>1169</v>
      </c>
      <c r="F12" s="14" t="s">
        <v>1170</v>
      </c>
      <c r="G12" s="14" t="s">
        <v>188</v>
      </c>
    </row>
    <row r="13" customFormat="false" ht="31.5" hidden="false" customHeight="true" outlineLevel="0" collapsed="false">
      <c r="A13" s="6" t="n">
        <v>9</v>
      </c>
      <c r="B13" s="14" t="s">
        <v>1171</v>
      </c>
      <c r="C13" s="14" t="s">
        <v>1172</v>
      </c>
      <c r="D13" s="14" t="s">
        <v>1102</v>
      </c>
      <c r="E13" s="14" t="s">
        <v>1173</v>
      </c>
      <c r="F13" s="14" t="s">
        <v>1174</v>
      </c>
      <c r="G13" s="14" t="s">
        <v>186</v>
      </c>
    </row>
    <row r="14" customFormat="false" ht="31.5" hidden="false" customHeight="true" outlineLevel="0" collapsed="false">
      <c r="A14" s="6" t="n">
        <v>10</v>
      </c>
      <c r="B14" s="14" t="s">
        <v>1175</v>
      </c>
      <c r="C14" s="14" t="s">
        <v>1176</v>
      </c>
      <c r="D14" s="14" t="s">
        <v>1177</v>
      </c>
      <c r="E14" s="14" t="s">
        <v>1178</v>
      </c>
      <c r="F14" s="14" t="s">
        <v>774</v>
      </c>
      <c r="G14" s="14" t="s">
        <v>188</v>
      </c>
    </row>
    <row r="15" customFormat="false" ht="31.5" hidden="false" customHeight="true" outlineLevel="0" collapsed="false">
      <c r="A15" s="6" t="n">
        <v>11</v>
      </c>
      <c r="B15" s="14" t="s">
        <v>1179</v>
      </c>
      <c r="C15" s="14" t="s">
        <v>1180</v>
      </c>
      <c r="D15" s="14" t="s">
        <v>1181</v>
      </c>
      <c r="E15" s="14" t="s">
        <v>1182</v>
      </c>
      <c r="F15" s="14" t="s">
        <v>774</v>
      </c>
      <c r="G15" s="14" t="s">
        <v>188</v>
      </c>
    </row>
    <row r="16" customFormat="false" ht="31.5" hidden="false" customHeight="true" outlineLevel="0" collapsed="false">
      <c r="A16" s="6" t="n">
        <v>12</v>
      </c>
      <c r="B16" s="14" t="s">
        <v>1183</v>
      </c>
      <c r="C16" s="14" t="s">
        <v>1184</v>
      </c>
      <c r="D16" s="14" t="s">
        <v>1185</v>
      </c>
      <c r="E16" s="14" t="s">
        <v>1186</v>
      </c>
      <c r="F16" s="14" t="s">
        <v>774</v>
      </c>
      <c r="G16" s="14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23" min="3" style="0" width="9"/>
  </cols>
  <sheetData>
    <row r="1" customFormat="false" ht="17.35" hidden="false" customHeight="false" outlineLevel="0" collapsed="false">
      <c r="A1" s="1" t="s">
        <v>1187</v>
      </c>
    </row>
    <row r="2" customFormat="false" ht="15" hidden="false" customHeight="false" outlineLevel="0" collapsed="false">
      <c r="A2" s="12" t="s">
        <v>1188</v>
      </c>
    </row>
    <row r="4" customFormat="false" ht="35.05" hidden="false" customHeight="false" outlineLevel="0" collapsed="false">
      <c r="A4" s="5" t="s">
        <v>1189</v>
      </c>
      <c r="B4" s="5" t="s">
        <v>1190</v>
      </c>
      <c r="C4" s="5" t="s">
        <v>1191</v>
      </c>
      <c r="D4" s="5" t="s">
        <v>1192</v>
      </c>
      <c r="E4" s="5" t="s">
        <v>1193</v>
      </c>
      <c r="F4" s="5" t="s">
        <v>1194</v>
      </c>
      <c r="G4" s="5" t="s">
        <v>1195</v>
      </c>
      <c r="H4" s="5" t="s">
        <v>1196</v>
      </c>
      <c r="I4" s="5" t="s">
        <v>1197</v>
      </c>
    </row>
    <row r="5" customFormat="false" ht="15" hidden="false" customHeight="false" outlineLevel="0" collapsed="false">
      <c r="A5" s="6" t="s">
        <v>1198</v>
      </c>
      <c r="B5" s="43" t="n">
        <f aca="false">Assumptions!B11</f>
        <v>0.3</v>
      </c>
      <c r="C5" s="43" t="n">
        <f aca="false">Assumptions!B12</f>
        <v>0.3</v>
      </c>
      <c r="D5" s="43" t="n">
        <f aca="false">Assumptions!B13</f>
        <v>0.15</v>
      </c>
      <c r="E5" s="43" t="n">
        <f aca="false">Assumptions!B14</f>
        <v>0.25</v>
      </c>
      <c r="F5" s="43" t="n">
        <f aca="false">Assumptions!B23</f>
        <v>0.5</v>
      </c>
      <c r="G5" s="43" t="n">
        <f aca="false">Assumptions!B24</f>
        <v>0.3</v>
      </c>
      <c r="H5" s="43" t="n">
        <f aca="false">Assumptions!B25</f>
        <v>0.2</v>
      </c>
      <c r="I5" s="6" t="s">
        <v>1199</v>
      </c>
    </row>
    <row r="6" customFormat="false" ht="15" hidden="false" customHeight="false" outlineLevel="0" collapsed="false">
      <c r="A6" s="6" t="s">
        <v>1200</v>
      </c>
      <c r="B6" s="42" t="n">
        <v>0.25</v>
      </c>
      <c r="C6" s="42" t="n">
        <v>0.25</v>
      </c>
      <c r="D6" s="42" t="n">
        <v>0.25</v>
      </c>
      <c r="E6" s="42" t="n">
        <v>0.25</v>
      </c>
      <c r="F6" s="42" t="n">
        <v>0.333333333333333</v>
      </c>
      <c r="G6" s="42" t="n">
        <v>0.333333333333333</v>
      </c>
      <c r="H6" s="42" t="n">
        <v>0.333333333333333</v>
      </c>
      <c r="I6" s="6" t="s">
        <v>1201</v>
      </c>
    </row>
    <row r="7" customFormat="false" ht="15" hidden="false" customHeight="false" outlineLevel="0" collapsed="false">
      <c r="A7" s="6" t="s">
        <v>1202</v>
      </c>
      <c r="B7" s="42" t="n">
        <v>0.5</v>
      </c>
      <c r="C7" s="42" t="n">
        <v>0.2</v>
      </c>
      <c r="D7" s="42" t="n">
        <v>0.1</v>
      </c>
      <c r="E7" s="42" t="n">
        <v>0.2</v>
      </c>
      <c r="F7" s="43" t="n">
        <f aca="false">Assumptions!B23</f>
        <v>0.5</v>
      </c>
      <c r="G7" s="43" t="n">
        <f aca="false">Assumptions!B24</f>
        <v>0.3</v>
      </c>
      <c r="H7" s="43" t="n">
        <f aca="false">Assumptions!B25</f>
        <v>0.2</v>
      </c>
      <c r="I7" s="6" t="s">
        <v>1203</v>
      </c>
    </row>
    <row r="8" customFormat="false" ht="15" hidden="false" customHeight="false" outlineLevel="0" collapsed="false">
      <c r="A8" s="6" t="s">
        <v>1204</v>
      </c>
      <c r="B8" s="42" t="n">
        <v>0.15</v>
      </c>
      <c r="C8" s="42" t="n">
        <v>0.2</v>
      </c>
      <c r="D8" s="42" t="n">
        <v>0.15</v>
      </c>
      <c r="E8" s="42" t="n">
        <v>0.5</v>
      </c>
      <c r="F8" s="43" t="n">
        <f aca="false">Assumptions!B23</f>
        <v>0.5</v>
      </c>
      <c r="G8" s="43" t="n">
        <f aca="false">Assumptions!B24</f>
        <v>0.3</v>
      </c>
      <c r="H8" s="43" t="n">
        <f aca="false">Assumptions!B25</f>
        <v>0.2</v>
      </c>
      <c r="I8" s="6" t="s">
        <v>1205</v>
      </c>
    </row>
    <row r="9" customFormat="false" ht="15" hidden="false" customHeight="false" outlineLevel="0" collapsed="false">
      <c r="A9" s="6" t="s">
        <v>1206</v>
      </c>
      <c r="B9" s="43" t="n">
        <f aca="false">Assumptions!B11</f>
        <v>0.3</v>
      </c>
      <c r="C9" s="43" t="n">
        <f aca="false">Assumptions!B12</f>
        <v>0.3</v>
      </c>
      <c r="D9" s="43" t="n">
        <f aca="false">Assumptions!B13</f>
        <v>0.15</v>
      </c>
      <c r="E9" s="43" t="n">
        <f aca="false">Assumptions!B14</f>
        <v>0.25</v>
      </c>
      <c r="F9" s="42" t="n">
        <v>1</v>
      </c>
      <c r="G9" s="42" t="n">
        <v>0</v>
      </c>
      <c r="H9" s="42" t="n">
        <v>0</v>
      </c>
      <c r="I9" s="6" t="s">
        <v>1207</v>
      </c>
    </row>
    <row r="12" customFormat="false" ht="35.05" hidden="false" customHeight="false" outlineLevel="0" collapsed="false">
      <c r="A12" s="5" t="s">
        <v>1208</v>
      </c>
      <c r="B12" s="5" t="s">
        <v>6</v>
      </c>
      <c r="C12" s="5" t="s">
        <v>64</v>
      </c>
      <c r="D12" s="5" t="s">
        <v>65</v>
      </c>
      <c r="E12" s="5" t="s">
        <v>1209</v>
      </c>
      <c r="F12" s="5" t="s">
        <v>66</v>
      </c>
      <c r="G12" s="5" t="s">
        <v>1210</v>
      </c>
      <c r="H12" s="5" t="s">
        <v>1211</v>
      </c>
      <c r="I12" s="5" t="s">
        <v>1212</v>
      </c>
      <c r="J12" s="5" t="s">
        <v>1213</v>
      </c>
      <c r="K12" s="5" t="s">
        <v>1214</v>
      </c>
      <c r="L12" s="5" t="s">
        <v>1215</v>
      </c>
      <c r="M12" s="5" t="s">
        <v>1216</v>
      </c>
      <c r="N12" s="5" t="s">
        <v>1217</v>
      </c>
      <c r="O12" s="5" t="s">
        <v>1218</v>
      </c>
      <c r="P12" s="5" t="s">
        <v>1219</v>
      </c>
      <c r="Q12" s="5" t="s">
        <v>1220</v>
      </c>
      <c r="R12" s="5" t="s">
        <v>1221</v>
      </c>
      <c r="S12" s="5" t="s">
        <v>1222</v>
      </c>
      <c r="T12" s="5" t="s">
        <v>1223</v>
      </c>
      <c r="U12" s="5" t="s">
        <v>1224</v>
      </c>
      <c r="V12" s="5" t="s">
        <v>1225</v>
      </c>
      <c r="W12" s="5" t="s">
        <v>1226</v>
      </c>
    </row>
    <row r="13" customFormat="false" ht="15" hidden="false" customHeight="false" outlineLevel="0" collapsed="false">
      <c r="A13" s="7" t="str">
        <f aca="false">Scorecard!A6</f>
        <v>ORG-247</v>
      </c>
      <c r="B13" s="7" t="str">
        <f aca="false">Scorecard!B6</f>
        <v>Aster Power Assemblies Ltd.</v>
      </c>
      <c r="C13" s="8" t="n">
        <f aca="false">Scorecard!Z6</f>
        <v>17.55</v>
      </c>
      <c r="D13" s="8" t="n">
        <f aca="false">Scorecard!AA6</f>
        <v>35.25</v>
      </c>
      <c r="E13" s="8" t="n">
        <f aca="false">Scorecard!Y6</f>
        <v>24</v>
      </c>
      <c r="F13" s="8" t="n">
        <f aca="false">Scorecard!AB6</f>
        <v>27</v>
      </c>
      <c r="G13" s="8" t="n">
        <f aca="false">Scorecard!AC6</f>
        <v>0</v>
      </c>
      <c r="H13" s="43" t="n">
        <f aca="false">Scorecard!AI6</f>
        <v>0.633333333333333</v>
      </c>
      <c r="I13" s="8" t="n">
        <f aca="false">Scorecard!AL6</f>
        <v>44.4444444444444</v>
      </c>
      <c r="J13" s="8" t="n">
        <f aca="false">Scorecard!AM6</f>
        <v>33.3333333333333</v>
      </c>
      <c r="K13" s="19" t="n">
        <f aca="false">(H13*100*$F$5+I13*$G$5+J13*$H$5)*MIN(100,C13*$B$5+D13*$C$5+E13*$D$5+F13*$E$5+G13*Assumptions!$B$20)/100</f>
        <v>13.5315</v>
      </c>
      <c r="L13" s="19" t="n">
        <f aca="false">(H13*100*$F$6+I13*$G$6+J13*$H$6)*MIN(100,C13*$B$6+D13*$C$6+E13*$D$6+F13*$E$6+G13*Assumptions!$B$20)/100</f>
        <v>12.2061111111111</v>
      </c>
      <c r="M13" s="19" t="n">
        <f aca="false">(H13*100*$F$7+I13*$G$7+J13*$H$7)*MIN(100,C13*$B$7+D13*$C$7+E13*$D$7+F13*$E$7+G13*Assumptions!$B$20)/100</f>
        <v>12.20625</v>
      </c>
      <c r="N13" s="19" t="n">
        <f aca="false">(H13*100*$F$8+I13*$G$8+J13*$H$8)*MIN(100,C13*$B$8+D13*$C$8+E13*$D$8+F13*$E$8+G13*Assumptions!$B$20)/100</f>
        <v>13.837625</v>
      </c>
      <c r="O13" s="19" t="n">
        <f aca="false">(H13*100*$F$9+I13*$G$9+J13*$H$9)*MIN(100,C13*$B$9+D13*$C$9+E13*$D$9+F13*$E$9+G13*Assumptions!$B$20)/100</f>
        <v>16.587</v>
      </c>
      <c r="P13" s="6" t="n">
        <f aca="false">RANK(K13,$K$13:$K$37)+COUNTIF($K$13:K13,K13)-1</f>
        <v>19</v>
      </c>
      <c r="Q13" s="6" t="n">
        <f aca="false">RANK(L13,$L$13:$L$37)+COUNTIF($L$13:L13,L13)-1</f>
        <v>20</v>
      </c>
      <c r="R13" s="6" t="n">
        <f aca="false">RANK(M13,$M$13:$M$37)+COUNTIF($M$13:M13,M13)-1</f>
        <v>20</v>
      </c>
      <c r="S13" s="6" t="n">
        <f aca="false">RANK(N13,$N$13:$N$37)+COUNTIF($N$13:N13,N13)-1</f>
        <v>19</v>
      </c>
      <c r="T13" s="6" t="n">
        <f aca="false">RANK(O13,$O$13:$O$37)+COUNTIF($O$13:O13,O13)-1</f>
        <v>20</v>
      </c>
      <c r="U13" s="26" t="n">
        <f aca="false">COUNTIF(P13:T13,"&lt;=5")</f>
        <v>0</v>
      </c>
      <c r="V13" s="6" t="n">
        <f aca="false">MIN(P13:T13)</f>
        <v>19</v>
      </c>
      <c r="W13" s="6" t="n">
        <f aca="false">MAX(P13:T13)</f>
        <v>20</v>
      </c>
    </row>
    <row r="14" customFormat="false" ht="15" hidden="false" customHeight="false" outlineLevel="0" collapsed="false">
      <c r="A14" s="7" t="str">
        <f aca="false">Scorecard!A7</f>
        <v>ORG-725</v>
      </c>
      <c r="B14" s="7" t="str">
        <f aca="false">Scorecard!B7</f>
        <v>Boreal Power Systems Ltd.</v>
      </c>
      <c r="C14" s="8" t="n">
        <f aca="false">Scorecard!Z7</f>
        <v>36.0666666666667</v>
      </c>
      <c r="D14" s="8" t="n">
        <f aca="false">Scorecard!AA7</f>
        <v>29.75</v>
      </c>
      <c r="E14" s="8" t="n">
        <f aca="false">Scorecard!Y7</f>
        <v>33</v>
      </c>
      <c r="F14" s="8" t="n">
        <f aca="false">Scorecard!AB7</f>
        <v>24.3333333333333</v>
      </c>
      <c r="G14" s="8" t="n">
        <f aca="false">Scorecard!AC7</f>
        <v>0</v>
      </c>
      <c r="H14" s="43" t="n">
        <f aca="false">Scorecard!AI7</f>
        <v>0.366666666666667</v>
      </c>
      <c r="I14" s="8" t="n">
        <f aca="false">Scorecard!AL7</f>
        <v>44.4444444444444</v>
      </c>
      <c r="J14" s="8" t="n">
        <f aca="false">Scorecard!AM7</f>
        <v>33.3333333333333</v>
      </c>
      <c r="K14" s="19" t="n">
        <f aca="false">(H14*100*$F$5+I14*$G$5+J14*$H$5)*MIN(100,C14*$B$5+D14*$C$5+E14*$D$5+F14*$E$5+G14*Assumptions!$B$20)/100</f>
        <v>11.7983611111111</v>
      </c>
      <c r="L14" s="19" t="n">
        <f aca="false">(H14*100*$F$6+I14*$G$6+J14*$H$6)*MIN(100,C14*$B$6+D14*$C$6+E14*$D$6+F14*$E$6+G14*Assumptions!$B$20)/100</f>
        <v>11.7448611111111</v>
      </c>
      <c r="M14" s="19" t="n">
        <f aca="false">(H14*100*$F$7+I14*$G$7+J14*$H$7)*MIN(100,C14*$B$7+D14*$C$7+E14*$D$7+F14*$E$7+G14*Assumptions!$B$20)/100</f>
        <v>12.3241666666667</v>
      </c>
      <c r="N14" s="19" t="n">
        <f aca="false">(H14*100*$F$8+I14*$G$8+J14*$H$8)*MIN(100,C14*$B$8+D14*$C$8+E14*$D$8+F14*$E$8+G14*Assumptions!$B$20)/100</f>
        <v>10.9160555555556</v>
      </c>
      <c r="O14" s="19" t="n">
        <f aca="false">(H14*100*$F$9+I14*$G$9+J14*$H$9)*MIN(100,C14*$B$9+D14*$C$9+E14*$D$9+F14*$E$9+G14*Assumptions!$B$20)/100</f>
        <v>11.2853888888889</v>
      </c>
      <c r="P14" s="6" t="n">
        <f aca="false">RANK(K14,$K$13:$K$37)+COUNTIF($K$13:K14,K14)-1</f>
        <v>21</v>
      </c>
      <c r="Q14" s="6" t="n">
        <f aca="false">RANK(L14,$L$13:$L$37)+COUNTIF($L$13:L14,L14)-1</f>
        <v>21</v>
      </c>
      <c r="R14" s="6" t="n">
        <f aca="false">RANK(M14,$M$13:$M$37)+COUNTIF($M$13:M14,M14)-1</f>
        <v>18</v>
      </c>
      <c r="S14" s="6" t="n">
        <f aca="false">RANK(N14,$N$13:$N$37)+COUNTIF($N$13:N14,N14)-1</f>
        <v>22</v>
      </c>
      <c r="T14" s="6" t="n">
        <f aca="false">RANK(O14,$O$13:$O$37)+COUNTIF($O$13:O14,O14)-1</f>
        <v>23</v>
      </c>
      <c r="U14" s="26" t="n">
        <f aca="false">COUNTIF(P14:T14,"&lt;=5")</f>
        <v>0</v>
      </c>
      <c r="V14" s="6" t="n">
        <f aca="false">MIN(P14:T14)</f>
        <v>18</v>
      </c>
      <c r="W14" s="6" t="n">
        <f aca="false">MAX(P14:T14)</f>
        <v>23</v>
      </c>
    </row>
    <row r="15" customFormat="false" ht="15" hidden="false" customHeight="false" outlineLevel="0" collapsed="false">
      <c r="A15" s="7" t="str">
        <f aca="false">Scorecard!A8</f>
        <v>ORG-119</v>
      </c>
      <c r="B15" s="7" t="str">
        <f aca="false">Scorecard!B8</f>
        <v>Cobalt Control Electronics Ltd.</v>
      </c>
      <c r="C15" s="8" t="n">
        <f aca="false">Scorecard!Z8</f>
        <v>37.4</v>
      </c>
      <c r="D15" s="8" t="n">
        <f aca="false">Scorecard!AA8</f>
        <v>47.75</v>
      </c>
      <c r="E15" s="8" t="n">
        <f aca="false">Scorecard!Y8</f>
        <v>42</v>
      </c>
      <c r="F15" s="8" t="n">
        <f aca="false">Scorecard!AB8</f>
        <v>57.3333333333333</v>
      </c>
      <c r="G15" s="8" t="n">
        <f aca="false">Scorecard!AC8</f>
        <v>0</v>
      </c>
      <c r="H15" s="43" t="n">
        <f aca="false">Scorecard!AI8</f>
        <v>1</v>
      </c>
      <c r="I15" s="8" t="n">
        <f aca="false">Scorecard!AL8</f>
        <v>33.3333333333333</v>
      </c>
      <c r="J15" s="8" t="n">
        <f aca="false">Scorecard!AM8</f>
        <v>33.3333333333333</v>
      </c>
      <c r="K15" s="19" t="n">
        <f aca="false">(H15*100*$F$5+I15*$G$5+J15*$H$5)*MIN(100,C15*$B$5+D15*$C$5+E15*$D$5+F15*$E$5+G15*Assumptions!$B$20)/100</f>
        <v>30.7855555555556</v>
      </c>
      <c r="L15" s="19" t="n">
        <f aca="false">(H15*100*$F$6+I15*$G$6+J15*$H$6)*MIN(100,C15*$B$6+D15*$C$6+E15*$D$6+F15*$E$6+G15*Assumptions!$B$20)/100</f>
        <v>25.6226851851852</v>
      </c>
      <c r="M15" s="19" t="n">
        <f aca="false">(H15*100*$F$7+I15*$G$7+J15*$H$7)*MIN(100,C15*$B$7+D15*$C$7+E15*$D$7+F15*$E$7+G15*Assumptions!$B$20)/100</f>
        <v>29.2777777777778</v>
      </c>
      <c r="N15" s="19" t="n">
        <f aca="false">(H15*100*$F$8+I15*$G$8+J15*$H$8)*MIN(100,C15*$B$8+D15*$C$8+E15*$D$8+F15*$E$8+G15*Assumptions!$B$20)/100</f>
        <v>33.4177777777778</v>
      </c>
      <c r="O15" s="19" t="n">
        <f aca="false">(H15*100*$F$9+I15*$G$9+J15*$H$9)*MIN(100,C15*$B$9+D15*$C$9+E15*$D$9+F15*$E$9+G15*Assumptions!$B$20)/100</f>
        <v>46.1783333333333</v>
      </c>
      <c r="P15" s="6" t="n">
        <f aca="false">RANK(K15,$K$13:$K$37)+COUNTIF($K$13:K15,K15)-1</f>
        <v>9</v>
      </c>
      <c r="Q15" s="6" t="n">
        <f aca="false">RANK(L15,$L$13:$L$37)+COUNTIF($L$13:L15,L15)-1</f>
        <v>11</v>
      </c>
      <c r="R15" s="6" t="n">
        <f aca="false">RANK(M15,$M$13:$M$37)+COUNTIF($M$13:M15,M15)-1</f>
        <v>9</v>
      </c>
      <c r="S15" s="6" t="n">
        <f aca="false">RANK(N15,$N$13:$N$37)+COUNTIF($N$13:N15,N15)-1</f>
        <v>10</v>
      </c>
      <c r="T15" s="6" t="n">
        <f aca="false">RANK(O15,$O$13:$O$37)+COUNTIF($O$13:O15,O15)-1</f>
        <v>6</v>
      </c>
      <c r="U15" s="26" t="n">
        <f aca="false">COUNTIF(P15:T15,"&lt;=5")</f>
        <v>0</v>
      </c>
      <c r="V15" s="6" t="n">
        <f aca="false">MIN(P15:T15)</f>
        <v>6</v>
      </c>
      <c r="W15" s="6" t="n">
        <f aca="false">MAX(P15:T15)</f>
        <v>11</v>
      </c>
    </row>
    <row r="16" customFormat="false" ht="15" hidden="false" customHeight="false" outlineLevel="0" collapsed="false">
      <c r="A16" s="7" t="str">
        <f aca="false">Scorecard!A9</f>
        <v>ORG-922</v>
      </c>
      <c r="B16" s="7" t="str">
        <f aca="false">Scorecard!B9</f>
        <v>Delta Capacitor Works Ltd.</v>
      </c>
      <c r="C16" s="8" t="n">
        <f aca="false">Scorecard!Z9</f>
        <v>20.22</v>
      </c>
      <c r="D16" s="8" t="n">
        <f aca="false">Scorecard!AA9</f>
        <v>20.25</v>
      </c>
      <c r="E16" s="8" t="n">
        <f aca="false">Scorecard!Y9</f>
        <v>51</v>
      </c>
      <c r="F16" s="8" t="n">
        <f aca="false">Scorecard!AB9</f>
        <v>23.3333333333333</v>
      </c>
      <c r="G16" s="8" t="n">
        <f aca="false">Scorecard!AC9</f>
        <v>0</v>
      </c>
      <c r="H16" s="43" t="n">
        <f aca="false">Scorecard!AI9</f>
        <v>0.733333333333333</v>
      </c>
      <c r="I16" s="8" t="n">
        <f aca="false">Scorecard!AL9</f>
        <v>22.2222222222222</v>
      </c>
      <c r="J16" s="8" t="n">
        <f aca="false">Scorecard!AM9</f>
        <v>33.3333333333333</v>
      </c>
      <c r="K16" s="19" t="n">
        <f aca="false">(H16*100*$F$5+I16*$G$5+J16*$H$5)*MIN(100,C16*$B$5+D16*$C$5+E16*$D$5+F16*$E$5+G16*Assumptions!$B$20)/100</f>
        <v>12.8121666666667</v>
      </c>
      <c r="L16" s="19" t="n">
        <f aca="false">(H16*100*$F$6+I16*$G$6+J16*$H$6)*MIN(100,C16*$B$6+D16*$C$6+E16*$D$6+F16*$E$6+G16*Assumptions!$B$20)/100</f>
        <v>12.3307283950617</v>
      </c>
      <c r="M16" s="19" t="n">
        <f aca="false">(H16*100*$F$7+I16*$G$7+J16*$H$7)*MIN(100,C16*$B$7+D16*$C$7+E16*$D$7+F16*$E$7+G16*Assumptions!$B$20)/100</f>
        <v>11.9633333333333</v>
      </c>
      <c r="N16" s="19" t="n">
        <f aca="false">(H16*100*$F$8+I16*$G$8+J16*$H$8)*MIN(100,C16*$B$8+D16*$C$8+E16*$D$8+F16*$E$8+G16*Assumptions!$B$20)/100</f>
        <v>13.1998333333333</v>
      </c>
      <c r="O16" s="19" t="n">
        <f aca="false">(H16*100*$F$9+I16*$G$9+J16*$H$9)*MIN(100,C16*$B$9+D16*$C$9+E16*$D$9+F16*$E$9+G16*Assumptions!$B$20)/100</f>
        <v>18.7911777777778</v>
      </c>
      <c r="P16" s="6" t="n">
        <f aca="false">RANK(K16,$K$13:$K$37)+COUNTIF($K$13:K16,K16)-1</f>
        <v>20</v>
      </c>
      <c r="Q16" s="6" t="n">
        <f aca="false">RANK(L16,$L$13:$L$37)+COUNTIF($L$13:L16,L16)-1</f>
        <v>19</v>
      </c>
      <c r="R16" s="6" t="n">
        <f aca="false">RANK(M16,$M$13:$M$37)+COUNTIF($M$13:M16,M16)-1</f>
        <v>21</v>
      </c>
      <c r="S16" s="6" t="n">
        <f aca="false">RANK(N16,$N$13:$N$37)+COUNTIF($N$13:N16,N16)-1</f>
        <v>20</v>
      </c>
      <c r="T16" s="6" t="n">
        <f aca="false">RANK(O16,$O$13:$O$37)+COUNTIF($O$13:O16,O16)-1</f>
        <v>19</v>
      </c>
      <c r="U16" s="26" t="n">
        <f aca="false">COUNTIF(P16:T16,"&lt;=5")</f>
        <v>0</v>
      </c>
      <c r="V16" s="6" t="n">
        <f aca="false">MIN(P16:T16)</f>
        <v>19</v>
      </c>
      <c r="W16" s="6" t="n">
        <f aca="false">MAX(P16:T16)</f>
        <v>21</v>
      </c>
    </row>
    <row r="17" customFormat="false" ht="15" hidden="false" customHeight="false" outlineLevel="0" collapsed="false">
      <c r="A17" s="7" t="str">
        <f aca="false">Scorecard!A10</f>
        <v>ORG-786</v>
      </c>
      <c r="B17" s="7" t="str">
        <f aca="false">Scorecard!B10</f>
        <v>Estuary Thermal Systems Ltd.</v>
      </c>
      <c r="C17" s="8" t="n">
        <f aca="false">Scorecard!Z10</f>
        <v>17.2666666666667</v>
      </c>
      <c r="D17" s="8" t="n">
        <f aca="false">Scorecard!AA10</f>
        <v>14.25</v>
      </c>
      <c r="E17" s="8" t="n">
        <f aca="false">Scorecard!Y10</f>
        <v>60</v>
      </c>
      <c r="F17" s="8" t="n">
        <f aca="false">Scorecard!AB10</f>
        <v>60</v>
      </c>
      <c r="G17" s="8" t="n">
        <f aca="false">Scorecard!AC10</f>
        <v>0</v>
      </c>
      <c r="H17" s="43" t="n">
        <f aca="false">Scorecard!AI10</f>
        <v>0.6</v>
      </c>
      <c r="I17" s="8" t="n">
        <f aca="false">Scorecard!AL10</f>
        <v>16.6666666666667</v>
      </c>
      <c r="J17" s="8" t="n">
        <f aca="false">Scorecard!AM10</f>
        <v>33.3333333333333</v>
      </c>
      <c r="K17" s="19" t="n">
        <f aca="false">(H17*100*$F$5+I17*$G$5+J17*$H$5)*MIN(100,C17*$B$5+D17*$C$5+E17*$D$5+F17*$E$5+G17*Assumptions!$B$20)/100</f>
        <v>13.9395833333333</v>
      </c>
      <c r="L17" s="19" t="n">
        <f aca="false">(H17*100*$F$6+I17*$G$6+J17*$H$6)*MIN(100,C17*$B$6+D17*$C$6+E17*$D$6+F17*$E$6+G17*Assumptions!$B$20)/100</f>
        <v>13.8890277777778</v>
      </c>
      <c r="M17" s="19" t="n">
        <f aca="false">(H17*100*$F$7+I17*$G$7+J17*$H$7)*MIN(100,C17*$B$7+D17*$C$7+E17*$D$7+F17*$E$7+G17*Assumptions!$B$20)/100</f>
        <v>12.2847222222222</v>
      </c>
      <c r="N17" s="19" t="n">
        <f aca="false">(H17*100*$F$8+I17*$G$8+J17*$H$8)*MIN(100,C17*$B$8+D17*$C$8+E17*$D$8+F17*$E$8+G17*Assumptions!$B$20)/100</f>
        <v>18.5166666666667</v>
      </c>
      <c r="O17" s="19" t="n">
        <f aca="false">(H17*100*$F$9+I17*$G$9+J17*$H$9)*MIN(100,C17*$B$9+D17*$C$9+E17*$D$9+F17*$E$9+G17*Assumptions!$B$20)/100</f>
        <v>20.073</v>
      </c>
      <c r="P17" s="6" t="n">
        <f aca="false">RANK(K17,$K$13:$K$37)+COUNTIF($K$13:K17,K17)-1</f>
        <v>18</v>
      </c>
      <c r="Q17" s="6" t="n">
        <f aca="false">RANK(L17,$L$13:$L$37)+COUNTIF($L$13:L17,L17)-1</f>
        <v>18</v>
      </c>
      <c r="R17" s="6" t="n">
        <f aca="false">RANK(M17,$M$13:$M$37)+COUNTIF($M$13:M17,M17)-1</f>
        <v>19</v>
      </c>
      <c r="S17" s="6" t="n">
        <f aca="false">RANK(N17,$N$13:$N$37)+COUNTIF($N$13:N17,N17)-1</f>
        <v>17</v>
      </c>
      <c r="T17" s="6" t="n">
        <f aca="false">RANK(O17,$O$13:$O$37)+COUNTIF($O$13:O17,O17)-1</f>
        <v>18</v>
      </c>
      <c r="U17" s="26" t="n">
        <f aca="false">COUNTIF(P17:T17,"&lt;=5")</f>
        <v>0</v>
      </c>
      <c r="V17" s="6" t="n">
        <f aca="false">MIN(P17:T17)</f>
        <v>17</v>
      </c>
      <c r="W17" s="6" t="n">
        <f aca="false">MAX(P17:T17)</f>
        <v>19</v>
      </c>
    </row>
    <row r="18" customFormat="false" ht="15" hidden="false" customHeight="false" outlineLevel="0" collapsed="false">
      <c r="A18" s="7" t="str">
        <f aca="false">Scorecard!A11</f>
        <v>ORG-287</v>
      </c>
      <c r="B18" s="7" t="str">
        <f aca="false">Scorecard!B11</f>
        <v>ForgeLine Enclosures Ltd.</v>
      </c>
      <c r="C18" s="8" t="n">
        <f aca="false">Scorecard!Z11</f>
        <v>39</v>
      </c>
      <c r="D18" s="8" t="n">
        <f aca="false">Scorecard!AA11</f>
        <v>24.125</v>
      </c>
      <c r="E18" s="8" t="n">
        <f aca="false">Scorecard!Y11</f>
        <v>69</v>
      </c>
      <c r="F18" s="8" t="n">
        <f aca="false">Scorecard!AB11</f>
        <v>27</v>
      </c>
      <c r="G18" s="8" t="n">
        <f aca="false">Scorecard!AC11</f>
        <v>0</v>
      </c>
      <c r="H18" s="43" t="n">
        <f aca="false">Scorecard!AI11</f>
        <v>0.4</v>
      </c>
      <c r="I18" s="8" t="n">
        <f aca="false">Scorecard!AL11</f>
        <v>11.1111111111111</v>
      </c>
      <c r="J18" s="8" t="n">
        <f aca="false">Scorecard!AM11</f>
        <v>33.3333333333333</v>
      </c>
      <c r="K18" s="19" t="n">
        <f aca="false">(H18*100*$F$5+I18*$G$5+J18*$H$5)*MIN(100,C18*$B$5+D18*$C$5+E18*$D$5+F18*$E$5+G18*Assumptions!$B$20)/100</f>
        <v>10.81125</v>
      </c>
      <c r="L18" s="19" t="n">
        <f aca="false">(H18*100*$F$6+I18*$G$6+J18*$H$6)*MIN(100,C18*$B$6+D18*$C$6+E18*$D$6+F18*$E$6+G18*Assumptions!$B$20)/100</f>
        <v>11.1976851851852</v>
      </c>
      <c r="M18" s="19" t="n">
        <f aca="false">(H18*100*$F$7+I18*$G$7+J18*$H$7)*MIN(100,C18*$B$7+D18*$C$7+E18*$D$7+F18*$E$7+G18*Assumptions!$B$20)/100</f>
        <v>10.9875</v>
      </c>
      <c r="N18" s="19" t="n">
        <f aca="false">(H18*100*$F$8+I18*$G$8+J18*$H$8)*MIN(100,C18*$B$8+D18*$C$8+E18*$D$8+F18*$E$8+G18*Assumptions!$B$20)/100</f>
        <v>10.3575</v>
      </c>
      <c r="O18" s="19" t="n">
        <f aca="false">(H18*100*$F$9+I18*$G$9+J18*$H$9)*MIN(100,C18*$B$9+D18*$C$9+E18*$D$9+F18*$E$9+G18*Assumptions!$B$20)/100</f>
        <v>14.415</v>
      </c>
      <c r="P18" s="6" t="n">
        <f aca="false">RANK(K18,$K$13:$K$37)+COUNTIF($K$13:K18,K18)-1</f>
        <v>23</v>
      </c>
      <c r="Q18" s="6" t="n">
        <f aca="false">RANK(L18,$L$13:$L$37)+COUNTIF($L$13:L18,L18)-1</f>
        <v>22</v>
      </c>
      <c r="R18" s="6" t="n">
        <f aca="false">RANK(M18,$M$13:$M$37)+COUNTIF($M$13:M18,M18)-1</f>
        <v>22</v>
      </c>
      <c r="S18" s="6" t="n">
        <f aca="false">RANK(N18,$N$13:$N$37)+COUNTIF($N$13:N18,N18)-1</f>
        <v>23</v>
      </c>
      <c r="T18" s="6" t="n">
        <f aca="false">RANK(O18,$O$13:$O$37)+COUNTIF($O$13:O18,O18)-1</f>
        <v>21</v>
      </c>
      <c r="U18" s="26" t="n">
        <f aca="false">COUNTIF(P18:T18,"&lt;=5")</f>
        <v>0</v>
      </c>
      <c r="V18" s="6" t="n">
        <f aca="false">MIN(P18:T18)</f>
        <v>21</v>
      </c>
      <c r="W18" s="6" t="n">
        <f aca="false">MAX(P18:T18)</f>
        <v>23</v>
      </c>
    </row>
    <row r="19" customFormat="false" ht="15" hidden="false" customHeight="false" outlineLevel="0" collapsed="false">
      <c r="A19" s="7" t="str">
        <f aca="false">Scorecard!A12</f>
        <v>ORG-103</v>
      </c>
      <c r="B19" s="7" t="str">
        <f aca="false">Scorecard!B12</f>
        <v>Grove Battery Controls Ltd.</v>
      </c>
      <c r="C19" s="8" t="n">
        <f aca="false">Scorecard!Z12</f>
        <v>22.83</v>
      </c>
      <c r="D19" s="8" t="n">
        <f aca="false">Scorecard!AA12</f>
        <v>53.875</v>
      </c>
      <c r="E19" s="8" t="n">
        <f aca="false">Scorecard!Y12</f>
        <v>18</v>
      </c>
      <c r="F19" s="8" t="n">
        <f aca="false">Scorecard!AB12</f>
        <v>57.3333333333333</v>
      </c>
      <c r="G19" s="8" t="n">
        <f aca="false">Scorecard!AC12</f>
        <v>0</v>
      </c>
      <c r="H19" s="43" t="n">
        <f aca="false">Scorecard!AI12</f>
        <v>0.213333333333333</v>
      </c>
      <c r="I19" s="8" t="n">
        <f aca="false">Scorecard!AL12</f>
        <v>33.3333333333333</v>
      </c>
      <c r="J19" s="8" t="n">
        <f aca="false">Scorecard!AM12</f>
        <v>33.3333333333333</v>
      </c>
      <c r="K19" s="19" t="n">
        <f aca="false">(H19*100*$F$5+I19*$G$5+J19*$H$5)*MIN(100,C19*$B$5+D19*$C$5+E19*$D$5+F19*$E$5+G19*Assumptions!$B$20)/100</f>
        <v>10.9455877777778</v>
      </c>
      <c r="L19" s="19" t="n">
        <f aca="false">(H19*100*$F$6+I19*$G$6+J19*$H$6)*MIN(100,C19*$B$6+D19*$C$6+E19*$D$6+F19*$E$6+G19*Assumptions!$B$20)/100</f>
        <v>11.1494777777778</v>
      </c>
      <c r="M19" s="19" t="n">
        <f aca="false">(H19*100*$F$7+I19*$G$7+J19*$H$7)*MIN(100,C19*$B$7+D19*$C$7+E19*$D$7+F19*$E$7+G19*Assumptions!$B$20)/100</f>
        <v>9.69148888888889</v>
      </c>
      <c r="N19" s="19" t="n">
        <f aca="false">(H19*100*$F$8+I19*$G$8+J19*$H$8)*MIN(100,C19*$B$8+D19*$C$8+E19*$D$8+F19*$E$8+G19*Assumptions!$B$20)/100</f>
        <v>12.4547522222222</v>
      </c>
      <c r="O19" s="19" t="n">
        <f aca="false">(H19*100*$F$9+I19*$G$9+J19*$H$9)*MIN(100,C19*$B$9+D19*$C$9+E19*$D$9+F19*$E$9+G19*Assumptions!$B$20)/100</f>
        <v>8.54289777777778</v>
      </c>
      <c r="P19" s="6" t="n">
        <f aca="false">RANK(K19,$K$13:$K$37)+COUNTIF($K$13:K19,K19)-1</f>
        <v>22</v>
      </c>
      <c r="Q19" s="6" t="n">
        <f aca="false">RANK(L19,$L$13:$L$37)+COUNTIF($L$13:L19,L19)-1</f>
        <v>23</v>
      </c>
      <c r="R19" s="6" t="n">
        <f aca="false">RANK(M19,$M$13:$M$37)+COUNTIF($M$13:M19,M19)-1</f>
        <v>23</v>
      </c>
      <c r="S19" s="6" t="n">
        <f aca="false">RANK(N19,$N$13:$N$37)+COUNTIF($N$13:N19,N19)-1</f>
        <v>21</v>
      </c>
      <c r="T19" s="6" t="n">
        <f aca="false">RANK(O19,$O$13:$O$37)+COUNTIF($O$13:O19,O19)-1</f>
        <v>24</v>
      </c>
      <c r="U19" s="26" t="n">
        <f aca="false">COUNTIF(P19:T19,"&lt;=5")</f>
        <v>0</v>
      </c>
      <c r="V19" s="6" t="n">
        <f aca="false">MIN(P19:T19)</f>
        <v>21</v>
      </c>
      <c r="W19" s="6" t="n">
        <f aca="false">MAX(P19:T19)</f>
        <v>24</v>
      </c>
    </row>
    <row r="20" customFormat="false" ht="15" hidden="false" customHeight="false" outlineLevel="0" collapsed="false">
      <c r="A20" s="7" t="str">
        <f aca="false">Scorecard!A13</f>
        <v>ORG-176</v>
      </c>
      <c r="B20" s="7" t="str">
        <f aca="false">Scorecard!B13</f>
        <v>HarborSense Electronics Ltd.</v>
      </c>
      <c r="C20" s="8" t="n">
        <f aca="false">Scorecard!Z13</f>
        <v>17.88</v>
      </c>
      <c r="D20" s="8" t="n">
        <f aca="false">Scorecard!AA13</f>
        <v>46.125</v>
      </c>
      <c r="E20" s="8" t="n">
        <f aca="false">Scorecard!Y13</f>
        <v>27</v>
      </c>
      <c r="F20" s="8" t="n">
        <f aca="false">Scorecard!AB13</f>
        <v>24.3333333333333</v>
      </c>
      <c r="G20" s="8" t="n">
        <f aca="false">Scorecard!AC13</f>
        <v>0</v>
      </c>
      <c r="H20" s="43" t="n">
        <f aca="false">Scorecard!AI13</f>
        <v>0.0533333333333333</v>
      </c>
      <c r="I20" s="8" t="n">
        <f aca="false">Scorecard!AL13</f>
        <v>33.3333333333333</v>
      </c>
      <c r="J20" s="8" t="n">
        <f aca="false">Scorecard!AM13</f>
        <v>33.3333333333333</v>
      </c>
      <c r="K20" s="19" t="n">
        <f aca="false">(H20*100*$F$5+I20*$G$5+J20*$H$5)*MIN(100,C20*$B$5+D20*$C$5+E20*$D$5+F20*$E$5+G20*Assumptions!$B$20)/100</f>
        <v>5.67140111111111</v>
      </c>
      <c r="L20" s="19" t="n">
        <f aca="false">(H20*100*$F$6+I20*$G$6+J20*$H$6)*MIN(100,C20*$B$6+D20*$C$6+E20*$D$6+F20*$E$6+G20*Assumptions!$B$20)/100</f>
        <v>6.9203</v>
      </c>
      <c r="M20" s="19" t="n">
        <f aca="false">(H20*100*$F$7+I20*$G$7+J20*$H$7)*MIN(100,C20*$B$7+D20*$C$7+E20*$D$7+F20*$E$7+G20*Assumptions!$B$20)/100</f>
        <v>4.97478888888889</v>
      </c>
      <c r="N20" s="19" t="n">
        <f aca="false">(H20*100*$F$8+I20*$G$8+J20*$H$8)*MIN(100,C20*$B$8+D20*$C$8+E20*$D$8+F20*$E$8+G20*Assumptions!$B$20)/100</f>
        <v>5.43724222222222</v>
      </c>
      <c r="O20" s="19" t="n">
        <f aca="false">(H20*100*$F$9+I20*$G$9+J20*$H$9)*MIN(100,C20*$B$9+D20*$C$9+E20*$D$9+F20*$E$9+G20*Assumptions!$B$20)/100</f>
        <v>1.56452444444444</v>
      </c>
      <c r="P20" s="6" t="n">
        <f aca="false">RANK(K20,$K$13:$K$37)+COUNTIF($K$13:K20,K20)-1</f>
        <v>25</v>
      </c>
      <c r="Q20" s="6" t="n">
        <f aca="false">RANK(L20,$L$13:$L$37)+COUNTIF($L$13:L20,L20)-1</f>
        <v>25</v>
      </c>
      <c r="R20" s="6" t="n">
        <f aca="false">RANK(M20,$M$13:$M$37)+COUNTIF($M$13:M20,M20)-1</f>
        <v>25</v>
      </c>
      <c r="S20" s="6" t="n">
        <f aca="false">RANK(N20,$N$13:$N$37)+COUNTIF($N$13:N20,N20)-1</f>
        <v>25</v>
      </c>
      <c r="T20" s="6" t="n">
        <f aca="false">RANK(O20,$O$13:$O$37)+COUNTIF($O$13:O20,O20)-1</f>
        <v>25</v>
      </c>
      <c r="U20" s="26" t="n">
        <f aca="false">COUNTIF(P20:T20,"&lt;=5")</f>
        <v>0</v>
      </c>
      <c r="V20" s="6" t="n">
        <f aca="false">MIN(P20:T20)</f>
        <v>25</v>
      </c>
      <c r="W20" s="6" t="n">
        <f aca="false">MAX(P20:T20)</f>
        <v>25</v>
      </c>
    </row>
    <row r="21" customFormat="false" ht="15" hidden="false" customHeight="false" outlineLevel="0" collapsed="false">
      <c r="A21" s="7" t="str">
        <f aca="false">Scorecard!A14</f>
        <v>ORG-268</v>
      </c>
      <c r="B21" s="7" t="str">
        <f aca="false">Scorecard!B14</f>
        <v>CommonSpan Holdings Ltd.</v>
      </c>
      <c r="C21" s="8" t="n">
        <f aca="false">Scorecard!Z14</f>
        <v>12.9</v>
      </c>
      <c r="D21" s="8" t="n">
        <f aca="false">Scorecard!AA14</f>
        <v>32.625</v>
      </c>
      <c r="E21" s="8" t="n">
        <f aca="false">Scorecard!Y14</f>
        <v>45</v>
      </c>
      <c r="F21" s="8" t="n">
        <f aca="false">Scorecard!AB14</f>
        <v>24.3333333333333</v>
      </c>
      <c r="G21" s="8" t="n">
        <f aca="false">Scorecard!AC14</f>
        <v>0</v>
      </c>
      <c r="H21" s="43" t="n">
        <f aca="false">Scorecard!AI14</f>
        <v>1</v>
      </c>
      <c r="I21" s="8" t="n">
        <f aca="false">Scorecard!AL14</f>
        <v>44.4444444444444</v>
      </c>
      <c r="J21" s="8" t="n">
        <f aca="false">Scorecard!AM14</f>
        <v>66.6666666666667</v>
      </c>
      <c r="K21" s="19" t="n">
        <f aca="false">(H21*100*$F$5+I21*$G$5+J21*$H$5)*MIN(100,C21*$B$5+D21*$C$5+E21*$D$5+F21*$E$5+G21*Assumptions!$B$20)/100</f>
        <v>20.3096388888889</v>
      </c>
      <c r="L21" s="19" t="n">
        <f aca="false">(H21*100*$F$6+I21*$G$6+J21*$H$6)*MIN(100,C21*$B$6+D21*$C$6+E21*$D$6+F21*$E$6+G21*Assumptions!$B$20)/100</f>
        <v>20.2065586419753</v>
      </c>
      <c r="M21" s="19" t="n">
        <f aca="false">(H21*100*$F$7+I21*$G$7+J21*$H$7)*MIN(100,C21*$B$7+D21*$C$7+E21*$D$7+F21*$E$7+G21*Assumptions!$B$20)/100</f>
        <v>17.1286111111111</v>
      </c>
      <c r="N21" s="19" t="n">
        <f aca="false">(H21*100*$F$8+I21*$G$8+J21*$H$8)*MIN(100,C21*$B$8+D21*$C$8+E21*$D$8+F21*$E$8+G21*Assumptions!$B$20)/100</f>
        <v>20.9887777777778</v>
      </c>
      <c r="O21" s="19" t="n">
        <f aca="false">(H21*100*$F$9+I21*$G$9+J21*$H$9)*MIN(100,C21*$B$9+D21*$C$9+E21*$D$9+F21*$E$9+G21*Assumptions!$B$20)/100</f>
        <v>26.4908333333333</v>
      </c>
      <c r="P21" s="6" t="n">
        <f aca="false">RANK(K21,$K$13:$K$37)+COUNTIF($K$13:K21,K21)-1</f>
        <v>15</v>
      </c>
      <c r="Q21" s="6" t="n">
        <f aca="false">RANK(L21,$L$13:$L$37)+COUNTIF($L$13:L21,L21)-1</f>
        <v>13</v>
      </c>
      <c r="R21" s="6" t="n">
        <f aca="false">RANK(M21,$M$13:$M$37)+COUNTIF($M$13:M21,M21)-1</f>
        <v>16</v>
      </c>
      <c r="S21" s="6" t="n">
        <f aca="false">RANK(N21,$N$13:$N$37)+COUNTIF($N$13:N21,N21)-1</f>
        <v>15</v>
      </c>
      <c r="T21" s="6" t="n">
        <f aca="false">RANK(O21,$O$13:$O$37)+COUNTIF($O$13:O21,O21)-1</f>
        <v>15</v>
      </c>
      <c r="U21" s="26" t="n">
        <f aca="false">COUNTIF(P21:T21,"&lt;=5")</f>
        <v>0</v>
      </c>
      <c r="V21" s="6" t="n">
        <f aca="false">MIN(P21:T21)</f>
        <v>13</v>
      </c>
      <c r="W21" s="6" t="n">
        <f aca="false">MAX(P21:T21)</f>
        <v>16</v>
      </c>
    </row>
    <row r="22" customFormat="false" ht="15" hidden="false" customHeight="false" outlineLevel="0" collapsed="false">
      <c r="A22" s="7" t="str">
        <f aca="false">Scorecard!A15</f>
        <v>ORG-439</v>
      </c>
      <c r="B22" s="7" t="str">
        <f aca="false">Scorecard!B15</f>
        <v>IonPeak Semiconductor Ltd.</v>
      </c>
      <c r="C22" s="8" t="n">
        <f aca="false">Scorecard!Z15</f>
        <v>24.9</v>
      </c>
      <c r="D22" s="8" t="n">
        <f aca="false">Scorecard!AA15</f>
        <v>61.5</v>
      </c>
      <c r="E22" s="8" t="n">
        <f aca="false">Scorecard!Y15</f>
        <v>36</v>
      </c>
      <c r="F22" s="8" t="n">
        <f aca="false">Scorecard!AB15</f>
        <v>76.3333333333333</v>
      </c>
      <c r="G22" s="8" t="n">
        <f aca="false">Scorecard!AC15</f>
        <v>0</v>
      </c>
      <c r="H22" s="43" t="n">
        <f aca="false">Scorecard!AI15</f>
        <v>1</v>
      </c>
      <c r="I22" s="8" t="n">
        <f aca="false">Scorecard!AL15</f>
        <v>100</v>
      </c>
      <c r="J22" s="8" t="n">
        <f aca="false">Scorecard!AM15</f>
        <v>66.6666666666667</v>
      </c>
      <c r="K22" s="19" t="n">
        <f aca="false">(H22*100*$F$5+I22*$G$5+J22*$H$5)*MIN(100,C22*$B$5+D22*$C$5+E22*$D$5+F22*$E$5+G22*Assumptions!$B$20)/100</f>
        <v>47.0431111111111</v>
      </c>
      <c r="L22" s="19" t="n">
        <f aca="false">(H22*100*$F$6+I22*$G$6+J22*$H$6)*MIN(100,C22*$B$6+D22*$C$6+E22*$D$6+F22*$E$6+G22*Assumptions!$B$20)/100</f>
        <v>44.162962962963</v>
      </c>
      <c r="M22" s="19" t="n">
        <f aca="false">(H22*100*$F$7+I22*$G$7+J22*$H$7)*MIN(100,C22*$B$7+D22*$C$7+E22*$D$7+F22*$E$7+G22*Assumptions!$B$20)/100</f>
        <v>40.7088888888889</v>
      </c>
      <c r="N22" s="19" t="n">
        <f aca="false">(H22*100*$F$8+I22*$G$8+J22*$H$8)*MIN(100,C22*$B$8+D22*$C$8+E22*$D$8+F22*$E$8+G22*Assumptions!$B$20)/100</f>
        <v>55.6282222222222</v>
      </c>
      <c r="O22" s="19" t="n">
        <f aca="false">(H22*100*$F$9+I22*$G$9+J22*$H$9)*MIN(100,C22*$B$9+D22*$C$9+E22*$D$9+F22*$E$9+G22*Assumptions!$B$20)/100</f>
        <v>50.4033333333333</v>
      </c>
      <c r="P22" s="6" t="n">
        <f aca="false">RANK(K22,$K$13:$K$37)+COUNTIF($K$13:K22,K22)-1</f>
        <v>2</v>
      </c>
      <c r="Q22" s="6" t="n">
        <f aca="false">RANK(L22,$L$13:$L$37)+COUNTIF($L$13:L22,L22)-1</f>
        <v>2</v>
      </c>
      <c r="R22" s="6" t="n">
        <f aca="false">RANK(M22,$M$13:$M$37)+COUNTIF($M$13:M22,M22)-1</f>
        <v>3</v>
      </c>
      <c r="S22" s="6" t="n">
        <f aca="false">RANK(N22,$N$13:$N$37)+COUNTIF($N$13:N22,N22)-1</f>
        <v>2</v>
      </c>
      <c r="T22" s="6" t="n">
        <f aca="false">RANK(O22,$O$13:$O$37)+COUNTIF($O$13:O22,O22)-1</f>
        <v>5</v>
      </c>
      <c r="U22" s="26" t="n">
        <f aca="false">COUNTIF(P22:T22,"&lt;=5")</f>
        <v>5</v>
      </c>
      <c r="V22" s="6" t="n">
        <f aca="false">MIN(P22:T22)</f>
        <v>2</v>
      </c>
      <c r="W22" s="6" t="n">
        <f aca="false">MAX(P22:T22)</f>
        <v>5</v>
      </c>
    </row>
    <row r="23" customFormat="false" ht="15" hidden="false" customHeight="false" outlineLevel="0" collapsed="false">
      <c r="A23" s="7" t="str">
        <f aca="false">Scorecard!A16</f>
        <v>ORG-453</v>
      </c>
      <c r="B23" s="7" t="str">
        <f aca="false">Scorecard!B16</f>
        <v>Jade Printed Circuits Ltd.</v>
      </c>
      <c r="C23" s="8" t="n">
        <f aca="false">Scorecard!Z16</f>
        <v>37.25</v>
      </c>
      <c r="D23" s="8" t="n">
        <f aca="false">Scorecard!AA16</f>
        <v>52</v>
      </c>
      <c r="E23" s="8" t="n">
        <f aca="false">Scorecard!Y16</f>
        <v>45</v>
      </c>
      <c r="F23" s="8" t="n">
        <f aca="false">Scorecard!AB16</f>
        <v>76.3333333333333</v>
      </c>
      <c r="G23" s="8" t="n">
        <f aca="false">Scorecard!AC16</f>
        <v>0</v>
      </c>
      <c r="H23" s="43" t="n">
        <f aca="false">Scorecard!AI16</f>
        <v>1</v>
      </c>
      <c r="I23" s="8" t="n">
        <f aca="false">Scorecard!AL16</f>
        <v>33.3333333333333</v>
      </c>
      <c r="J23" s="8" t="n">
        <f aca="false">Scorecard!AM16</f>
        <v>100</v>
      </c>
      <c r="K23" s="19" t="n">
        <f aca="false">(H23*100*$F$5+I23*$G$5+J23*$H$5)*MIN(100,C23*$B$5+D23*$C$5+E23*$D$5+F23*$E$5+G23*Assumptions!$B$20)/100</f>
        <v>42.0866666666667</v>
      </c>
      <c r="L23" s="19" t="n">
        <f aca="false">(H23*100*$F$6+I23*$G$6+J23*$H$6)*MIN(100,C23*$B$6+D23*$C$6+E23*$D$6+F23*$E$6+G23*Assumptions!$B$20)/100</f>
        <v>40.9467592592593</v>
      </c>
      <c r="M23" s="19" t="n">
        <f aca="false">(H23*100*$F$7+I23*$G$7+J23*$H$7)*MIN(100,C23*$B$7+D23*$C$7+E23*$D$7+F23*$E$7+G23*Assumptions!$B$20)/100</f>
        <v>39.0333333333333</v>
      </c>
      <c r="N23" s="19" t="n">
        <f aca="false">(H23*100*$F$8+I23*$G$8+J23*$H$8)*MIN(100,C23*$B$8+D23*$C$8+E23*$D$8+F23*$E$8+G23*Assumptions!$B$20)/100</f>
        <v>48.7233333333333</v>
      </c>
      <c r="O23" s="19" t="n">
        <f aca="false">(H23*100*$F$9+I23*$G$9+J23*$H$9)*MIN(100,C23*$B$9+D23*$C$9+E23*$D$9+F23*$E$9+G23*Assumptions!$B$20)/100</f>
        <v>52.6083333333333</v>
      </c>
      <c r="P23" s="6" t="n">
        <f aca="false">RANK(K23,$K$13:$K$37)+COUNTIF($K$13:K23,K23)-1</f>
        <v>4</v>
      </c>
      <c r="Q23" s="6" t="n">
        <f aca="false">RANK(L23,$L$13:$L$37)+COUNTIF($L$13:L23,L23)-1</f>
        <v>3</v>
      </c>
      <c r="R23" s="6" t="n">
        <f aca="false">RANK(M23,$M$13:$M$37)+COUNTIF($M$13:M23,M23)-1</f>
        <v>4</v>
      </c>
      <c r="S23" s="6" t="n">
        <f aca="false">RANK(N23,$N$13:$N$37)+COUNTIF($N$13:N23,N23)-1</f>
        <v>3</v>
      </c>
      <c r="T23" s="6" t="n">
        <f aca="false">RANK(O23,$O$13:$O$37)+COUNTIF($O$13:O23,O23)-1</f>
        <v>3</v>
      </c>
      <c r="U23" s="26" t="n">
        <f aca="false">COUNTIF(P23:T23,"&lt;=5")</f>
        <v>5</v>
      </c>
      <c r="V23" s="6" t="n">
        <f aca="false">MIN(P23:T23)</f>
        <v>3</v>
      </c>
      <c r="W23" s="6" t="n">
        <f aca="false">MAX(P23:T23)</f>
        <v>4</v>
      </c>
    </row>
    <row r="24" customFormat="false" ht="15" hidden="false" customHeight="false" outlineLevel="0" collapsed="false">
      <c r="A24" s="7" t="str">
        <f aca="false">Scorecard!A17</f>
        <v>ORG-728</v>
      </c>
      <c r="B24" s="7" t="str">
        <f aca="false">Scorecard!B17</f>
        <v>Kestrel Microdevices Ltd.</v>
      </c>
      <c r="C24" s="8" t="n">
        <f aca="false">Scorecard!Z17</f>
        <v>21.6</v>
      </c>
      <c r="D24" s="8" t="n">
        <f aca="false">Scorecard!AA17</f>
        <v>21.25</v>
      </c>
      <c r="E24" s="8" t="n">
        <f aca="false">Scorecard!Y17</f>
        <v>54</v>
      </c>
      <c r="F24" s="8" t="n">
        <f aca="false">Scorecard!AB17</f>
        <v>24.3333333333333</v>
      </c>
      <c r="G24" s="8" t="n">
        <f aca="false">Scorecard!AC17</f>
        <v>0</v>
      </c>
      <c r="H24" s="43" t="n">
        <f aca="false">Scorecard!AI17</f>
        <v>1</v>
      </c>
      <c r="I24" s="8" t="n">
        <f aca="false">Scorecard!AL17</f>
        <v>72.2222222222222</v>
      </c>
      <c r="J24" s="8" t="n">
        <f aca="false">Scorecard!AM17</f>
        <v>66.6666666666667</v>
      </c>
      <c r="K24" s="19" t="n">
        <f aca="false">(H24*100*$F$5+I24*$G$5+J24*$H$5)*MIN(100,C24*$B$5+D24*$C$5+E24*$D$5+F24*$E$5+G24*Assumptions!$B$20)/100</f>
        <v>22.9825833333333</v>
      </c>
      <c r="L24" s="19" t="n">
        <f aca="false">(H24*100*$F$6+I24*$G$6+J24*$H$6)*MIN(100,C24*$B$6+D24*$C$6+E24*$D$6+F24*$E$6+G24*Assumptions!$B$20)/100</f>
        <v>24.1244598765432</v>
      </c>
      <c r="M24" s="19" t="n">
        <f aca="false">(H24*100*$F$7+I24*$G$7+J24*$H$7)*MIN(100,C24*$B$7+D24*$C$7+E24*$D$7+F24*$E$7+G24*Assumptions!$B$20)/100</f>
        <v>21.5191666666667</v>
      </c>
      <c r="N24" s="19" t="n">
        <f aca="false">(H24*100*$F$8+I24*$G$8+J24*$H$8)*MIN(100,C24*$B$8+D24*$C$8+E24*$D$8+F24*$E$8+G24*Assumptions!$B$20)/100</f>
        <v>23.5931666666667</v>
      </c>
      <c r="O24" s="19" t="n">
        <f aca="false">(H24*100*$F$9+I24*$G$9+J24*$H$9)*MIN(100,C24*$B$9+D24*$C$9+E24*$D$9+F24*$E$9+G24*Assumptions!$B$20)/100</f>
        <v>27.0383333333333</v>
      </c>
      <c r="P24" s="6" t="n">
        <f aca="false">RANK(K24,$K$13:$K$37)+COUNTIF($K$13:K24,K24)-1</f>
        <v>12</v>
      </c>
      <c r="Q24" s="6" t="n">
        <f aca="false">RANK(L24,$L$13:$L$37)+COUNTIF($L$13:L24,L24)-1</f>
        <v>12</v>
      </c>
      <c r="R24" s="6" t="n">
        <f aca="false">RANK(M24,$M$13:$M$37)+COUNTIF($M$13:M24,M24)-1</f>
        <v>12</v>
      </c>
      <c r="S24" s="6" t="n">
        <f aca="false">RANK(N24,$N$13:$N$37)+COUNTIF($N$13:N24,N24)-1</f>
        <v>14</v>
      </c>
      <c r="T24" s="6" t="n">
        <f aca="false">RANK(O24,$O$13:$O$37)+COUNTIF($O$13:O24,O24)-1</f>
        <v>14</v>
      </c>
      <c r="U24" s="26" t="n">
        <f aca="false">COUNTIF(P24:T24,"&lt;=5")</f>
        <v>0</v>
      </c>
      <c r="V24" s="6" t="n">
        <f aca="false">MIN(P24:T24)</f>
        <v>12</v>
      </c>
      <c r="W24" s="6" t="n">
        <f aca="false">MAX(P24:T24)</f>
        <v>14</v>
      </c>
    </row>
    <row r="25" customFormat="false" ht="15" hidden="false" customHeight="false" outlineLevel="0" collapsed="false">
      <c r="A25" s="7" t="str">
        <f aca="false">Scorecard!A18</f>
        <v>ORG-942</v>
      </c>
      <c r="B25" s="7" t="str">
        <f aca="false">Scorecard!B18</f>
        <v>Lumen Magnetics Ltd.</v>
      </c>
      <c r="C25" s="8" t="n">
        <f aca="false">Scorecard!Z18</f>
        <v>41.8666666666667</v>
      </c>
      <c r="D25" s="8" t="n">
        <f aca="false">Scorecard!AA18</f>
        <v>26</v>
      </c>
      <c r="E25" s="8" t="n">
        <f aca="false">Scorecard!Y18</f>
        <v>63</v>
      </c>
      <c r="F25" s="8" t="n">
        <f aca="false">Scorecard!AB18</f>
        <v>57.3333333333333</v>
      </c>
      <c r="G25" s="8" t="n">
        <f aca="false">Scorecard!AC18</f>
        <v>0</v>
      </c>
      <c r="H25" s="43" t="n">
        <f aca="false">Scorecard!AI18</f>
        <v>1</v>
      </c>
      <c r="I25" s="8" t="n">
        <f aca="false">Scorecard!AL18</f>
        <v>27.7777777777778</v>
      </c>
      <c r="J25" s="8" t="n">
        <f aca="false">Scorecard!AM18</f>
        <v>66.6666666666667</v>
      </c>
      <c r="K25" s="19" t="n">
        <f aca="false">(H25*100*$F$5+I25*$G$5+J25*$H$5)*MIN(100,C25*$B$5+D25*$C$5+E25*$D$5+F25*$E$5+G25*Assumptions!$B$20)/100</f>
        <v>31.6360555555556</v>
      </c>
      <c r="L25" s="19" t="n">
        <f aca="false">(H25*100*$F$6+I25*$G$6+J25*$H$6)*MIN(100,C25*$B$6+D25*$C$6+E25*$D$6+F25*$E$6+G25*Assumptions!$B$20)/100</f>
        <v>30.4953703703704</v>
      </c>
      <c r="M25" s="19" t="n">
        <f aca="false">(H25*100*$F$7+I25*$G$7+J25*$H$7)*MIN(100,C25*$B$7+D25*$C$7+E25*$D$7+F25*$E$7+G25*Assumptions!$B$20)/100</f>
        <v>31.4616666666667</v>
      </c>
      <c r="N25" s="19" t="n">
        <f aca="false">(H25*100*$F$8+I25*$G$8+J25*$H$8)*MIN(100,C25*$B$8+D25*$C$8+E25*$D$8+F25*$E$8+G25*Assumptions!$B$20)/100</f>
        <v>35.5442777777778</v>
      </c>
      <c r="O25" s="19" t="n">
        <f aca="false">(H25*100*$F$9+I25*$G$9+J25*$H$9)*MIN(100,C25*$B$9+D25*$C$9+E25*$D$9+F25*$E$9+G25*Assumptions!$B$20)/100</f>
        <v>44.1433333333333</v>
      </c>
      <c r="P25" s="6" t="n">
        <f aca="false">RANK(K25,$K$13:$K$37)+COUNTIF($K$13:K25,K25)-1</f>
        <v>7</v>
      </c>
      <c r="Q25" s="6" t="n">
        <f aca="false">RANK(L25,$L$13:$L$37)+COUNTIF($L$13:L25,L25)-1</f>
        <v>9</v>
      </c>
      <c r="R25" s="6" t="n">
        <f aca="false">RANK(M25,$M$13:$M$37)+COUNTIF($M$13:M25,M25)-1</f>
        <v>6</v>
      </c>
      <c r="S25" s="6" t="n">
        <f aca="false">RANK(N25,$N$13:$N$37)+COUNTIF($N$13:N25,N25)-1</f>
        <v>8</v>
      </c>
      <c r="T25" s="6" t="n">
        <f aca="false">RANK(O25,$O$13:$O$37)+COUNTIF($O$13:O25,O25)-1</f>
        <v>7</v>
      </c>
      <c r="U25" s="26" t="n">
        <f aca="false">COUNTIF(P25:T25,"&lt;=5")</f>
        <v>0</v>
      </c>
      <c r="V25" s="6" t="n">
        <f aca="false">MIN(P25:T25)</f>
        <v>6</v>
      </c>
      <c r="W25" s="6" t="n">
        <f aca="false">MAX(P25:T25)</f>
        <v>9</v>
      </c>
    </row>
    <row r="26" customFormat="false" ht="15" hidden="false" customHeight="false" outlineLevel="0" collapsed="false">
      <c r="A26" s="7" t="str">
        <f aca="false">Scorecard!A19</f>
        <v>ORG-708</v>
      </c>
      <c r="B26" s="7" t="str">
        <f aca="false">Scorecard!B19</f>
        <v>Orion Ceramics Ltd.</v>
      </c>
      <c r="C26" s="8" t="n">
        <f aca="false">Scorecard!Z19</f>
        <v>20.4166666666667</v>
      </c>
      <c r="D26" s="8" t="n">
        <f aca="false">Scorecard!AA19</f>
        <v>38.5</v>
      </c>
      <c r="E26" s="8" t="n">
        <f aca="false">Scorecard!Y19</f>
        <v>30</v>
      </c>
      <c r="F26" s="8" t="n">
        <f aca="false">Scorecard!AB19</f>
        <v>76.3333333333333</v>
      </c>
      <c r="G26" s="8" t="n">
        <f aca="false">Scorecard!AC19</f>
        <v>0</v>
      </c>
      <c r="H26" s="43" t="n">
        <f aca="false">Scorecard!AI19</f>
        <v>1</v>
      </c>
      <c r="I26" s="8" t="n">
        <f aca="false">Scorecard!AL19</f>
        <v>55.5555555555556</v>
      </c>
      <c r="J26" s="8" t="n">
        <f aca="false">Scorecard!AM19</f>
        <v>66.6666666666667</v>
      </c>
      <c r="K26" s="19" t="n">
        <f aca="false">(H26*100*$F$5+I26*$G$5+J26*$H$5)*MIN(100,C26*$B$5+D26*$C$5+E26*$D$5+F26*$E$5+G26*Assumptions!$B$20)/100</f>
        <v>33.0066666666667</v>
      </c>
      <c r="L26" s="19" t="n">
        <f aca="false">(H26*100*$F$6+I26*$G$6+J26*$H$6)*MIN(100,C26*$B$6+D26*$C$6+E26*$D$6+F26*$E$6+G26*Assumptions!$B$20)/100</f>
        <v>30.6018518518518</v>
      </c>
      <c r="M26" s="19" t="n">
        <f aca="false">(H26*100*$F$7+I26*$G$7+J26*$H$7)*MIN(100,C26*$B$7+D26*$C$7+E26*$D$7+F26*$E$7+G26*Assumptions!$B$20)/100</f>
        <v>28.94</v>
      </c>
      <c r="N26" s="19" t="n">
        <f aca="false">(H26*100*$F$8+I26*$G$8+J26*$H$8)*MIN(100,C26*$B$8+D26*$C$8+E26*$D$8+F26*$E$8+G26*Assumptions!$B$20)/100</f>
        <v>42.7433333333333</v>
      </c>
      <c r="O26" s="19" t="n">
        <f aca="false">(H26*100*$F$9+I26*$G$9+J26*$H$9)*MIN(100,C26*$B$9+D26*$C$9+E26*$D$9+F26*$E$9+G26*Assumptions!$B$20)/100</f>
        <v>41.2583333333333</v>
      </c>
      <c r="P26" s="6" t="n">
        <f aca="false">RANK(K26,$K$13:$K$37)+COUNTIF($K$13:K26,K26)-1</f>
        <v>6</v>
      </c>
      <c r="Q26" s="6" t="n">
        <f aca="false">RANK(L26,$L$13:$L$37)+COUNTIF($L$13:L26,L26)-1</f>
        <v>8</v>
      </c>
      <c r="R26" s="6" t="n">
        <f aca="false">RANK(M26,$M$13:$M$37)+COUNTIF($M$13:M26,M26)-1</f>
        <v>10</v>
      </c>
      <c r="S26" s="6" t="n">
        <f aca="false">RANK(N26,$N$13:$N$37)+COUNTIF($N$13:N26,N26)-1</f>
        <v>5</v>
      </c>
      <c r="T26" s="6" t="n">
        <f aca="false">RANK(O26,$O$13:$O$37)+COUNTIF($O$13:O26,O26)-1</f>
        <v>8</v>
      </c>
      <c r="U26" s="26" t="n">
        <f aca="false">COUNTIF(P26:T26,"&lt;=5")</f>
        <v>1</v>
      </c>
      <c r="V26" s="6" t="n">
        <f aca="false">MIN(P26:T26)</f>
        <v>5</v>
      </c>
      <c r="W26" s="6" t="n">
        <f aca="false">MAX(P26:T26)</f>
        <v>10</v>
      </c>
    </row>
    <row r="27" customFormat="false" ht="15" hidden="false" customHeight="false" outlineLevel="0" collapsed="false">
      <c r="A27" s="7" t="str">
        <f aca="false">Scorecard!A20</f>
        <v>ORG-469</v>
      </c>
      <c r="B27" s="7" t="str">
        <f aca="false">Scorecard!B20</f>
        <v>Rill Connectors Ltd.</v>
      </c>
      <c r="C27" s="8" t="n">
        <f aca="false">Scorecard!Z20</f>
        <v>20.88</v>
      </c>
      <c r="D27" s="8" t="n">
        <f aca="false">Scorecard!AA20</f>
        <v>22.75</v>
      </c>
      <c r="E27" s="8" t="n">
        <f aca="false">Scorecard!Y20</f>
        <v>57</v>
      </c>
      <c r="F27" s="8" t="n">
        <f aca="false">Scorecard!AB20</f>
        <v>57.3333333333333</v>
      </c>
      <c r="G27" s="8" t="n">
        <f aca="false">Scorecard!AC20</f>
        <v>0</v>
      </c>
      <c r="H27" s="43" t="n">
        <f aca="false">Scorecard!AI20</f>
        <v>1</v>
      </c>
      <c r="I27" s="8" t="n">
        <f aca="false">Scorecard!AL20</f>
        <v>16.6666666666667</v>
      </c>
      <c r="J27" s="8" t="n">
        <f aca="false">Scorecard!AM20</f>
        <v>33.3333333333333</v>
      </c>
      <c r="K27" s="19" t="n">
        <f aca="false">(H27*100*$F$5+I27*$G$5+J27*$H$5)*MIN(100,C27*$B$5+D27*$C$5+E27*$D$5+F27*$E$5+G27*Assumptions!$B$20)/100</f>
        <v>22.1829388888889</v>
      </c>
      <c r="L27" s="19" t="n">
        <f aca="false">(H27*100*$F$6+I27*$G$6+J27*$H$6)*MIN(100,C27*$B$6+D27*$C$6+E27*$D$6+F27*$E$6+G27*Assumptions!$B$20)/100</f>
        <v>19.7454166666667</v>
      </c>
      <c r="M27" s="19" t="n">
        <f aca="false">(H27*100*$F$7+I27*$G$7+J27*$H$7)*MIN(100,C27*$B$7+D27*$C$7+E27*$D$7+F27*$E$7+G27*Assumptions!$B$20)/100</f>
        <v>19.8299444444444</v>
      </c>
      <c r="N27" s="19" t="n">
        <f aca="false">(H27*100*$F$8+I27*$G$8+J27*$H$8)*MIN(100,C27*$B$8+D27*$C$8+E27*$D$8+F27*$E$8+G27*Assumptions!$B$20)/100</f>
        <v>27.6875111111111</v>
      </c>
      <c r="O27" s="19" t="n">
        <f aca="false">(H27*100*$F$9+I27*$G$9+J27*$H$9)*MIN(100,C27*$B$9+D27*$C$9+E27*$D$9+F27*$E$9+G27*Assumptions!$B$20)/100</f>
        <v>35.9723333333333</v>
      </c>
      <c r="P27" s="6" t="n">
        <f aca="false">RANK(K27,$K$13:$K$37)+COUNTIF($K$13:K27,K27)-1</f>
        <v>13</v>
      </c>
      <c r="Q27" s="6" t="n">
        <f aca="false">RANK(L27,$L$13:$L$37)+COUNTIF($L$13:L27,L27)-1</f>
        <v>14</v>
      </c>
      <c r="R27" s="6" t="n">
        <f aca="false">RANK(M27,$M$13:$M$37)+COUNTIF($M$13:M27,M27)-1</f>
        <v>13</v>
      </c>
      <c r="S27" s="6" t="n">
        <f aca="false">RANK(N27,$N$13:$N$37)+COUNTIF($N$13:N27,N27)-1</f>
        <v>12</v>
      </c>
      <c r="T27" s="6" t="n">
        <f aca="false">RANK(O27,$O$13:$O$37)+COUNTIF($O$13:O27,O27)-1</f>
        <v>12</v>
      </c>
      <c r="U27" s="26" t="n">
        <f aca="false">COUNTIF(P27:T27,"&lt;=5")</f>
        <v>0</v>
      </c>
      <c r="V27" s="6" t="n">
        <f aca="false">MIN(P27:T27)</f>
        <v>12</v>
      </c>
      <c r="W27" s="6" t="n">
        <f aca="false">MAX(P27:T27)</f>
        <v>14</v>
      </c>
    </row>
    <row r="28" customFormat="false" ht="15" hidden="false" customHeight="false" outlineLevel="0" collapsed="false">
      <c r="A28" s="7" t="str">
        <f aca="false">Scorecard!A21</f>
        <v>ORG-210</v>
      </c>
      <c r="B28" s="7" t="str">
        <f aca="false">Scorecard!B21</f>
        <v>Meridian Dielectrics Ltd.</v>
      </c>
      <c r="C28" s="8" t="n">
        <f aca="false">Scorecard!Z21</f>
        <v>96.4</v>
      </c>
      <c r="D28" s="8" t="n">
        <f aca="false">Scorecard!AA21</f>
        <v>96.5</v>
      </c>
      <c r="E28" s="8" t="n">
        <f aca="false">Scorecard!Y21</f>
        <v>72</v>
      </c>
      <c r="F28" s="8" t="n">
        <f aca="false">Scorecard!AB21</f>
        <v>23.3333333333333</v>
      </c>
      <c r="G28" s="8" t="n">
        <f aca="false">Scorecard!AC21</f>
        <v>1</v>
      </c>
      <c r="H28" s="43" t="n">
        <f aca="false">Scorecard!AI21</f>
        <v>0.733333333333333</v>
      </c>
      <c r="I28" s="8" t="n">
        <f aca="false">Scorecard!AL21</f>
        <v>33.3333333333333</v>
      </c>
      <c r="J28" s="8" t="n">
        <f aca="false">Scorecard!AM21</f>
        <v>33.3333333333333</v>
      </c>
      <c r="K28" s="19" t="n">
        <f aca="false">(H28*100*$F$5+I28*$G$5+J28*$H$5)*MIN(100,C28*$B$5+D28*$C$5+E28*$D$5+F28*$E$5+G28*Assumptions!$B$20)/100</f>
        <v>45.0684444444444</v>
      </c>
      <c r="L28" s="19" t="n">
        <f aca="false">(H28*100*$F$6+I28*$G$6+J28*$H$6)*MIN(100,C28*$B$6+D28*$C$6+E28*$D$6+F28*$E$6+G28*Assumptions!$B$20)/100</f>
        <v>38.2938888888889</v>
      </c>
      <c r="M28" s="19" t="n">
        <f aca="false">(H28*100*$F$7+I28*$G$7+J28*$H$7)*MIN(100,C28*$B$7+D28*$C$7+E28*$D$7+F28*$E$7+G28*Assumptions!$B$20)/100</f>
        <v>47.6622222222222</v>
      </c>
      <c r="N28" s="19" t="n">
        <f aca="false">(H28*100*$F$8+I28*$G$8+J28*$H$8)*MIN(100,C28*$B$8+D28*$C$8+E28*$D$8+F28*$E$8+G28*Assumptions!$B$20)/100</f>
        <v>35.3208888888889</v>
      </c>
      <c r="O28" s="19" t="n">
        <f aca="false">(H28*100*$F$9+I28*$G$9+J28*$H$9)*MIN(100,C28*$B$9+D28*$C$9+E28*$D$9+F28*$E$9+G28*Assumptions!$B$20)/100</f>
        <v>61.9691111111111</v>
      </c>
      <c r="P28" s="6" t="n">
        <f aca="false">RANK(K28,$K$13:$K$37)+COUNTIF($K$13:K28,K28)-1</f>
        <v>3</v>
      </c>
      <c r="Q28" s="6" t="n">
        <f aca="false">RANK(L28,$L$13:$L$37)+COUNTIF($L$13:L28,L28)-1</f>
        <v>4</v>
      </c>
      <c r="R28" s="6" t="n">
        <f aca="false">RANK(M28,$M$13:$M$37)+COUNTIF($M$13:M28,M28)-1</f>
        <v>1</v>
      </c>
      <c r="S28" s="6" t="n">
        <f aca="false">RANK(N28,$N$13:$N$37)+COUNTIF($N$13:N28,N28)-1</f>
        <v>9</v>
      </c>
      <c r="T28" s="6" t="n">
        <f aca="false">RANK(O28,$O$13:$O$37)+COUNTIF($O$13:O28,O28)-1</f>
        <v>1</v>
      </c>
      <c r="U28" s="26" t="n">
        <f aca="false">COUNTIF(P28:T28,"&lt;=5")</f>
        <v>4</v>
      </c>
      <c r="V28" s="6" t="n">
        <f aca="false">MIN(P28:T28)</f>
        <v>1</v>
      </c>
      <c r="W28" s="6" t="n">
        <f aca="false">MAX(P28:T28)</f>
        <v>9</v>
      </c>
    </row>
    <row r="29" customFormat="false" ht="15" hidden="false" customHeight="false" outlineLevel="0" collapsed="false">
      <c r="A29" s="7" t="str">
        <f aca="false">Scorecard!A22</f>
        <v>ORG-849</v>
      </c>
      <c r="B29" s="7" t="str">
        <f aca="false">Scorecard!B22</f>
        <v>Nacre Foils Ltd.</v>
      </c>
      <c r="C29" s="8" t="n">
        <f aca="false">Scorecard!Z22</f>
        <v>24.42</v>
      </c>
      <c r="D29" s="8" t="n">
        <f aca="false">Scorecard!AA22</f>
        <v>61.75</v>
      </c>
      <c r="E29" s="8" t="n">
        <f aca="false">Scorecard!Y22</f>
        <v>21</v>
      </c>
      <c r="F29" s="8" t="n">
        <f aca="false">Scorecard!AB22</f>
        <v>60</v>
      </c>
      <c r="G29" s="8" t="n">
        <f aca="false">Scorecard!AC22</f>
        <v>0</v>
      </c>
      <c r="H29" s="43" t="n">
        <f aca="false">Scorecard!AI22</f>
        <v>0.733333333333333</v>
      </c>
      <c r="I29" s="8" t="n">
        <f aca="false">Scorecard!AL22</f>
        <v>22.2222222222222</v>
      </c>
      <c r="J29" s="8" t="n">
        <f aca="false">Scorecard!AM22</f>
        <v>33.3333333333333</v>
      </c>
      <c r="K29" s="19" t="n">
        <f aca="false">(H29*100*$F$5+I29*$G$5+J29*$H$5)*MIN(100,C29*$B$5+D29*$C$5+E29*$D$5+F29*$E$5+G29*Assumptions!$B$20)/100</f>
        <v>22.0005</v>
      </c>
      <c r="L29" s="19" t="n">
        <f aca="false">(H29*100*$F$6+I29*$G$6+J29*$H$6)*MIN(100,C29*$B$6+D29*$C$6+E29*$D$6+F29*$E$6+G29*Assumptions!$B$20)/100</f>
        <v>17.9552962962963</v>
      </c>
      <c r="M29" s="19" t="n">
        <f aca="false">(H29*100*$F$7+I29*$G$7+J29*$H$7)*MIN(100,C29*$B$7+D29*$C$7+E29*$D$7+F29*$E$7+G29*Assumptions!$B$20)/100</f>
        <v>19.33</v>
      </c>
      <c r="N29" s="19" t="n">
        <f aca="false">(H29*100*$F$8+I29*$G$8+J29*$H$8)*MIN(100,C29*$B$8+D29*$C$8+E29*$D$8+F29*$E$8+G29*Assumptions!$B$20)/100</f>
        <v>24.5815</v>
      </c>
      <c r="O29" s="19" t="n">
        <f aca="false">(H29*100*$F$9+I29*$G$9+J29*$H$9)*MIN(100,C29*$B$9+D29*$C$9+E29*$D$9+F29*$E$9+G29*Assumptions!$B$20)/100</f>
        <v>32.2674</v>
      </c>
      <c r="P29" s="6" t="n">
        <f aca="false">RANK(K29,$K$13:$K$37)+COUNTIF($K$13:K29,K29)-1</f>
        <v>14</v>
      </c>
      <c r="Q29" s="6" t="n">
        <f aca="false">RANK(L29,$L$13:$L$37)+COUNTIF($L$13:L29,L29)-1</f>
        <v>15</v>
      </c>
      <c r="R29" s="6" t="n">
        <f aca="false">RANK(M29,$M$13:$M$37)+COUNTIF($M$13:M29,M29)-1</f>
        <v>14</v>
      </c>
      <c r="S29" s="6" t="n">
        <f aca="false">RANK(N29,$N$13:$N$37)+COUNTIF($N$13:N29,N29)-1</f>
        <v>13</v>
      </c>
      <c r="T29" s="6" t="n">
        <f aca="false">RANK(O29,$O$13:$O$37)+COUNTIF($O$13:O29,O29)-1</f>
        <v>13</v>
      </c>
      <c r="U29" s="26" t="n">
        <f aca="false">COUNTIF(P29:T29,"&lt;=5")</f>
        <v>0</v>
      </c>
      <c r="V29" s="6" t="n">
        <f aca="false">MIN(P29:T29)</f>
        <v>13</v>
      </c>
      <c r="W29" s="6" t="n">
        <f aca="false">MAX(P29:T29)</f>
        <v>15</v>
      </c>
    </row>
    <row r="30" customFormat="false" ht="15" hidden="false" customHeight="false" outlineLevel="0" collapsed="false">
      <c r="A30" s="7" t="str">
        <f aca="false">Scorecard!A23</f>
        <v>ORG-274</v>
      </c>
      <c r="B30" s="7" t="str">
        <f aca="false">Scorecard!B23</f>
        <v>Pine Thermal Metals Ltd.</v>
      </c>
      <c r="C30" s="8" t="n">
        <f aca="false">Scorecard!Z23</f>
        <v>41.25</v>
      </c>
      <c r="D30" s="8" t="n">
        <f aca="false">Scorecard!AA23</f>
        <v>29.5</v>
      </c>
      <c r="E30" s="8" t="n">
        <f aca="false">Scorecard!Y23</f>
        <v>39</v>
      </c>
      <c r="F30" s="8" t="n">
        <f aca="false">Scorecard!AB23</f>
        <v>60</v>
      </c>
      <c r="G30" s="8" t="n">
        <f aca="false">Scorecard!AC23</f>
        <v>0</v>
      </c>
      <c r="H30" s="43" t="n">
        <f aca="false">Scorecard!AI23</f>
        <v>0.6</v>
      </c>
      <c r="I30" s="8" t="n">
        <f aca="false">Scorecard!AL23</f>
        <v>11.1111111111111</v>
      </c>
      <c r="J30" s="8" t="n">
        <f aca="false">Scorecard!AM23</f>
        <v>33.3333333333333</v>
      </c>
      <c r="K30" s="19" t="n">
        <f aca="false">(H30*100*$F$5+I30*$G$5+J30*$H$5)*MIN(100,C30*$B$5+D30*$C$5+E30*$D$5+F30*$E$5+G30*Assumptions!$B$20)/100</f>
        <v>16.83</v>
      </c>
      <c r="L30" s="19" t="n">
        <f aca="false">(H30*100*$F$6+I30*$G$6+J30*$H$6)*MIN(100,C30*$B$6+D30*$C$6+E30*$D$6+F30*$E$6+G30*Assumptions!$B$20)/100</f>
        <v>14.774537037037</v>
      </c>
      <c r="M30" s="19" t="n">
        <f aca="false">(H30*100*$F$7+I30*$G$7+J30*$H$7)*MIN(100,C30*$B$7+D30*$C$7+E30*$D$7+F30*$E$7+G30*Assumptions!$B$20)/100</f>
        <v>16.97</v>
      </c>
      <c r="N30" s="19" t="n">
        <f aca="false">(H30*100*$F$8+I30*$G$8+J30*$H$8)*MIN(100,C30*$B$8+D30*$C$8+E30*$D$8+F30*$E$8+G30*Assumptions!$B$20)/100</f>
        <v>19.175</v>
      </c>
      <c r="O30" s="19" t="n">
        <f aca="false">(H30*100*$F$9+I30*$G$9+J30*$H$9)*MIN(100,C30*$B$9+D30*$C$9+E30*$D$9+F30*$E$9+G30*Assumptions!$B$20)/100</f>
        <v>25.245</v>
      </c>
      <c r="P30" s="6" t="n">
        <f aca="false">RANK(K30,$K$13:$K$37)+COUNTIF($K$13:K30,K30)-1</f>
        <v>17</v>
      </c>
      <c r="Q30" s="6" t="n">
        <f aca="false">RANK(L30,$L$13:$L$37)+COUNTIF($L$13:L30,L30)-1</f>
        <v>17</v>
      </c>
      <c r="R30" s="6" t="n">
        <f aca="false">RANK(M30,$M$13:$M$37)+COUNTIF($M$13:M30,M30)-1</f>
        <v>17</v>
      </c>
      <c r="S30" s="6" t="n">
        <f aca="false">RANK(N30,$N$13:$N$37)+COUNTIF($N$13:N30,N30)-1</f>
        <v>16</v>
      </c>
      <c r="T30" s="6" t="n">
        <f aca="false">RANK(O30,$O$13:$O$37)+COUNTIF($O$13:O30,O30)-1</f>
        <v>16</v>
      </c>
      <c r="U30" s="26" t="n">
        <f aca="false">COUNTIF(P30:T30,"&lt;=5")</f>
        <v>0</v>
      </c>
      <c r="V30" s="6" t="n">
        <f aca="false">MIN(P30:T30)</f>
        <v>16</v>
      </c>
      <c r="W30" s="6" t="n">
        <f aca="false">MAX(P30:T30)</f>
        <v>17</v>
      </c>
    </row>
    <row r="31" customFormat="false" ht="15" hidden="false" customHeight="false" outlineLevel="0" collapsed="false">
      <c r="A31" s="7" t="str">
        <f aca="false">Scorecard!A24</f>
        <v>ORG-329</v>
      </c>
      <c r="B31" s="7" t="str">
        <f aca="false">Scorecard!B24</f>
        <v>Quartz Alloy Ltd.</v>
      </c>
      <c r="C31" s="8" t="n">
        <f aca="false">Scorecard!Z24</f>
        <v>9.03</v>
      </c>
      <c r="D31" s="8" t="n">
        <f aca="false">Scorecard!AA24</f>
        <v>43.8333333333334</v>
      </c>
      <c r="E31" s="8" t="n">
        <f aca="false">Scorecard!Y24</f>
        <v>48</v>
      </c>
      <c r="F31" s="8" t="n">
        <f aca="false">Scorecard!AB24</f>
        <v>27</v>
      </c>
      <c r="G31" s="8" t="n">
        <f aca="false">Scorecard!AC24</f>
        <v>0</v>
      </c>
      <c r="H31" s="43" t="n">
        <f aca="false">Scorecard!AI24</f>
        <v>0.4</v>
      </c>
      <c r="I31" s="8" t="n">
        <f aca="false">Scorecard!AL24</f>
        <v>11.1111111111111</v>
      </c>
      <c r="J31" s="8" t="n">
        <f aca="false">Scorecard!AM24</f>
        <v>33.3333333333333</v>
      </c>
      <c r="K31" s="19" t="n">
        <f aca="false">(H31*100*$F$5+I31*$G$5+J31*$H$5)*MIN(100,C31*$B$5+D31*$C$5+E31*$D$5+F31*$E$5+G31*Assumptions!$B$20)/100</f>
        <v>8.9427</v>
      </c>
      <c r="L31" s="19" t="n">
        <f aca="false">(H31*100*$F$6+I31*$G$6+J31*$H$6)*MIN(100,C31*$B$6+D31*$C$6+E31*$D$6+F31*$E$6+G31*Assumptions!$B$20)/100</f>
        <v>8.99779012345679</v>
      </c>
      <c r="M31" s="19" t="n">
        <f aca="false">(H31*100*$F$7+I31*$G$7+J31*$H$7)*MIN(100,C31*$B$7+D31*$C$7+E31*$D$7+F31*$E$7+G31*Assumptions!$B$20)/100</f>
        <v>7.0445</v>
      </c>
      <c r="N31" s="19" t="n">
        <f aca="false">(H31*100*$F$8+I31*$G$8+J31*$H$8)*MIN(100,C31*$B$8+D31*$C$8+E31*$D$8+F31*$E$8+G31*Assumptions!$B$20)/100</f>
        <v>9.24635</v>
      </c>
      <c r="O31" s="19" t="n">
        <f aca="false">(H31*100*$F$9+I31*$G$9+J31*$H$9)*MIN(100,C31*$B$9+D31*$C$9+E31*$D$9+F31*$E$9+G31*Assumptions!$B$20)/100</f>
        <v>11.9236</v>
      </c>
      <c r="P31" s="6" t="n">
        <f aca="false">RANK(K31,$K$13:$K$37)+COUNTIF($K$13:K31,K31)-1</f>
        <v>24</v>
      </c>
      <c r="Q31" s="6" t="n">
        <f aca="false">RANK(L31,$L$13:$L$37)+COUNTIF($L$13:L31,L31)-1</f>
        <v>24</v>
      </c>
      <c r="R31" s="6" t="n">
        <f aca="false">RANK(M31,$M$13:$M$37)+COUNTIF($M$13:M31,M31)-1</f>
        <v>24</v>
      </c>
      <c r="S31" s="6" t="n">
        <f aca="false">RANK(N31,$N$13:$N$37)+COUNTIF($N$13:N31,N31)-1</f>
        <v>24</v>
      </c>
      <c r="T31" s="6" t="n">
        <f aca="false">RANK(O31,$O$13:$O$37)+COUNTIF($O$13:O31,O31)-1</f>
        <v>22</v>
      </c>
      <c r="U31" s="26" t="n">
        <f aca="false">COUNTIF(P31:T31,"&lt;=5")</f>
        <v>0</v>
      </c>
      <c r="V31" s="6" t="n">
        <f aca="false">MIN(P31:T31)</f>
        <v>22</v>
      </c>
      <c r="W31" s="6" t="n">
        <f aca="false">MAX(P31:T31)</f>
        <v>24</v>
      </c>
    </row>
    <row r="32" customFormat="false" ht="15" hidden="false" customHeight="false" outlineLevel="0" collapsed="false">
      <c r="A32" s="7" t="str">
        <f aca="false">Scorecard!A25</f>
        <v>ORG-455</v>
      </c>
      <c r="B32" s="7" t="str">
        <f aca="false">Scorecard!B25</f>
        <v>Umber Silicon Carbide Ltd.</v>
      </c>
      <c r="C32" s="8" t="n">
        <f aca="false">Scorecard!Z25</f>
        <v>36.6583333333333</v>
      </c>
      <c r="D32" s="8" t="n">
        <f aca="false">Scorecard!AA25</f>
        <v>54.4166666666667</v>
      </c>
      <c r="E32" s="8" t="n">
        <f aca="false">Scorecard!Y25</f>
        <v>55.5</v>
      </c>
      <c r="F32" s="8" t="n">
        <f aca="false">Scorecard!AB25</f>
        <v>76.3333333333333</v>
      </c>
      <c r="G32" s="8" t="n">
        <f aca="false">Scorecard!AC25</f>
        <v>0</v>
      </c>
      <c r="H32" s="43" t="n">
        <f aca="false">Scorecard!AI25</f>
        <v>1</v>
      </c>
      <c r="I32" s="8" t="n">
        <f aca="false">Scorecard!AL25</f>
        <v>100</v>
      </c>
      <c r="J32" s="8" t="n">
        <f aca="false">Scorecard!AM25</f>
        <v>66.6666666666667</v>
      </c>
      <c r="K32" s="19" t="n">
        <f aca="false">(H32*100*$F$5+I32*$G$5+J32*$H$5)*MIN(100,C32*$B$5+D32*$C$5+E32*$D$5+F32*$E$5+G32*Assumptions!$B$20)/100</f>
        <v>51.0821111111111</v>
      </c>
      <c r="L32" s="19" t="n">
        <f aca="false">(H32*100*$F$6+I32*$G$6+J32*$H$6)*MIN(100,C32*$B$6+D32*$C$6+E32*$D$6+F32*$E$6+G32*Assumptions!$B$20)/100</f>
        <v>49.5351851851852</v>
      </c>
      <c r="M32" s="19" t="n">
        <f aca="false">(H32*100*$F$7+I32*$G$7+J32*$H$7)*MIN(100,C32*$B$7+D32*$C$7+E32*$D$7+F32*$E$7+G32*Assumptions!$B$20)/100</f>
        <v>46.6938888888889</v>
      </c>
      <c r="N32" s="19" t="n">
        <f aca="false">(H32*100*$F$8+I32*$G$8+J32*$H$8)*MIN(100,C32*$B$8+D32*$C$8+E32*$D$8+F32*$E$8+G32*Assumptions!$B$20)/100</f>
        <v>58.6821666666667</v>
      </c>
      <c r="O32" s="19" t="n">
        <f aca="false">(H32*100*$F$9+I32*$G$9+J32*$H$9)*MIN(100,C32*$B$9+D32*$C$9+E32*$D$9+F32*$E$9+G32*Assumptions!$B$20)/100</f>
        <v>54.7308333333333</v>
      </c>
      <c r="P32" s="6" t="n">
        <f aca="false">RANK(K32,$K$13:$K$37)+COUNTIF($K$13:K32,K32)-1</f>
        <v>1</v>
      </c>
      <c r="Q32" s="6" t="n">
        <f aca="false">RANK(L32,$L$13:$L$37)+COUNTIF($L$13:L32,L32)-1</f>
        <v>1</v>
      </c>
      <c r="R32" s="6" t="n">
        <f aca="false">RANK(M32,$M$13:$M$37)+COUNTIF($M$13:M32,M32)-1</f>
        <v>2</v>
      </c>
      <c r="S32" s="6" t="n">
        <f aca="false">RANK(N32,$N$13:$N$37)+COUNTIF($N$13:N32,N32)-1</f>
        <v>1</v>
      </c>
      <c r="T32" s="6" t="n">
        <f aca="false">RANK(O32,$O$13:$O$37)+COUNTIF($O$13:O32,O32)-1</f>
        <v>2</v>
      </c>
      <c r="U32" s="26" t="n">
        <f aca="false">COUNTIF(P32:T32,"&lt;=5")</f>
        <v>5</v>
      </c>
      <c r="V32" s="6" t="n">
        <f aca="false">MIN(P32:T32)</f>
        <v>1</v>
      </c>
      <c r="W32" s="6" t="n">
        <f aca="false">MAX(P32:T32)</f>
        <v>2</v>
      </c>
    </row>
    <row r="33" customFormat="false" ht="15" hidden="false" customHeight="false" outlineLevel="0" collapsed="false">
      <c r="A33" s="7" t="str">
        <f aca="false">Scorecard!A26</f>
        <v>ORG-736</v>
      </c>
      <c r="B33" s="7" t="str">
        <f aca="false">Scorecard!B26</f>
        <v>Verdant Process Gases Ltd.</v>
      </c>
      <c r="C33" s="8" t="n">
        <f aca="false">Scorecard!Z26</f>
        <v>36.6583333333333</v>
      </c>
      <c r="D33" s="8" t="n">
        <f aca="false">Scorecard!AA26</f>
        <v>46.125</v>
      </c>
      <c r="E33" s="8" t="n">
        <f aca="false">Scorecard!Y26</f>
        <v>55.5</v>
      </c>
      <c r="F33" s="8" t="n">
        <f aca="false">Scorecard!AB26</f>
        <v>76.3333333333333</v>
      </c>
      <c r="G33" s="8" t="n">
        <f aca="false">Scorecard!AC26</f>
        <v>0</v>
      </c>
      <c r="H33" s="43" t="n">
        <f aca="false">Scorecard!AI26</f>
        <v>1</v>
      </c>
      <c r="I33" s="8" t="n">
        <f aca="false">Scorecard!AL26</f>
        <v>22.2222222222222</v>
      </c>
      <c r="J33" s="8" t="n">
        <f aca="false">Scorecard!AM26</f>
        <v>66.6666666666667</v>
      </c>
      <c r="K33" s="19" t="n">
        <f aca="false">(H33*100*$F$5+I33*$G$5+J33*$H$5)*MIN(100,C33*$B$5+D33*$C$5+E33*$D$5+F33*$E$5+G33*Assumptions!$B$20)/100</f>
        <v>36.5703333333333</v>
      </c>
      <c r="L33" s="19" t="n">
        <f aca="false">(H33*100*$F$6+I33*$G$6+J33*$H$6)*MIN(100,C33*$B$6+D33*$C$6+E33*$D$6+F33*$E$6+G33*Assumptions!$B$20)/100</f>
        <v>33.7822530864197</v>
      </c>
      <c r="M33" s="19" t="n">
        <f aca="false">(H33*100*$F$7+I33*$G$7+J33*$H$7)*MIN(100,C33*$B$7+D33*$C$7+E33*$D$7+F33*$E$7+G33*Assumptions!$B$20)/100</f>
        <v>33.8595833333333</v>
      </c>
      <c r="N33" s="19" t="n">
        <f aca="false">(H33*100*$F$8+I33*$G$8+J33*$H$8)*MIN(100,C33*$B$8+D33*$C$8+E33*$D$8+F33*$E$8+G33*Assumptions!$B$20)/100</f>
        <v>42.8507916666667</v>
      </c>
      <c r="O33" s="19" t="n">
        <f aca="false">(H33*100*$F$9+I33*$G$9+J33*$H$9)*MIN(100,C33*$B$9+D33*$C$9+E33*$D$9+F33*$E$9+G33*Assumptions!$B$20)/100</f>
        <v>52.2433333333333</v>
      </c>
      <c r="P33" s="6" t="n">
        <f aca="false">RANK(K33,$K$13:$K$37)+COUNTIF($K$13:K33,K33)-1</f>
        <v>5</v>
      </c>
      <c r="Q33" s="6" t="n">
        <f aca="false">RANK(L33,$L$13:$L$37)+COUNTIF($L$13:L33,L33)-1</f>
        <v>5</v>
      </c>
      <c r="R33" s="6" t="n">
        <f aca="false">RANK(M33,$M$13:$M$37)+COUNTIF($M$13:M33,M33)-1</f>
        <v>5</v>
      </c>
      <c r="S33" s="6" t="n">
        <f aca="false">RANK(N33,$N$13:$N$37)+COUNTIF($N$13:N33,N33)-1</f>
        <v>4</v>
      </c>
      <c r="T33" s="6" t="n">
        <f aca="false">RANK(O33,$O$13:$O$37)+COUNTIF($O$13:O33,O33)-1</f>
        <v>4</v>
      </c>
      <c r="U33" s="26" t="n">
        <f aca="false">COUNTIF(P33:T33,"&lt;=5")</f>
        <v>5</v>
      </c>
      <c r="V33" s="6" t="n">
        <f aca="false">MIN(P33:T33)</f>
        <v>4</v>
      </c>
      <c r="W33" s="6" t="n">
        <f aca="false">MAX(P33:T33)</f>
        <v>5</v>
      </c>
    </row>
    <row r="34" customFormat="false" ht="15" hidden="false" customHeight="false" outlineLevel="0" collapsed="false">
      <c r="A34" s="7" t="str">
        <f aca="false">Scorecard!A27</f>
        <v>ORG-520</v>
      </c>
      <c r="B34" s="7" t="str">
        <f aca="false">Scorecard!B27</f>
        <v>Yarrow Specialty Minerals Ltd.</v>
      </c>
      <c r="C34" s="8" t="n">
        <f aca="false">Scorecard!Z27</f>
        <v>36.6583333333333</v>
      </c>
      <c r="D34" s="8" t="n">
        <f aca="false">Scorecard!AA27</f>
        <v>26.75</v>
      </c>
      <c r="E34" s="8" t="n">
        <f aca="false">Scorecard!Y27</f>
        <v>55.5</v>
      </c>
      <c r="F34" s="8" t="n">
        <f aca="false">Scorecard!AB27</f>
        <v>42.3333333333333</v>
      </c>
      <c r="G34" s="8" t="n">
        <f aca="false">Scorecard!AC27</f>
        <v>0</v>
      </c>
      <c r="H34" s="43" t="n">
        <f aca="false">Scorecard!AI27</f>
        <v>1</v>
      </c>
      <c r="I34" s="8" t="n">
        <f aca="false">Scorecard!AL27</f>
        <v>33.3333333333333</v>
      </c>
      <c r="J34" s="8" t="n">
        <f aca="false">Scorecard!AM27</f>
        <v>66.6666666666667</v>
      </c>
      <c r="K34" s="19" t="n">
        <f aca="false">(H34*100*$F$5+I34*$G$5+J34*$H$5)*MIN(100,C34*$B$5+D34*$C$5+E34*$D$5+F34*$E$5+G34*Assumptions!$B$20)/100</f>
        <v>27.8159444444444</v>
      </c>
      <c r="L34" s="19" t="n">
        <f aca="false">(H34*100*$F$6+I34*$G$6+J34*$H$6)*MIN(100,C34*$B$6+D34*$C$6+E34*$D$6+F34*$E$6+G34*Assumptions!$B$20)/100</f>
        <v>26.8736111111111</v>
      </c>
      <c r="M34" s="19" t="n">
        <f aca="false">(H34*100*$F$7+I34*$G$7+J34*$H$7)*MIN(100,C34*$B$7+D34*$C$7+E34*$D$7+F34*$E$7+G34*Assumptions!$B$20)/100</f>
        <v>27.6436111111111</v>
      </c>
      <c r="N34" s="19" t="n">
        <f aca="false">(H34*100*$F$8+I34*$G$8+J34*$H$8)*MIN(100,C34*$B$8+D34*$C$8+E34*$D$8+F34*$E$8+G34*Assumptions!$B$20)/100</f>
        <v>29.5829722222222</v>
      </c>
      <c r="O34" s="19" t="n">
        <f aca="false">(H34*100*$F$9+I34*$G$9+J34*$H$9)*MIN(100,C34*$B$9+D34*$C$9+E34*$D$9+F34*$E$9+G34*Assumptions!$B$20)/100</f>
        <v>37.9308333333333</v>
      </c>
      <c r="P34" s="6" t="n">
        <f aca="false">RANK(K34,$K$13:$K$37)+COUNTIF($K$13:K34,K34)-1</f>
        <v>11</v>
      </c>
      <c r="Q34" s="6" t="n">
        <f aca="false">RANK(L34,$L$13:$L$37)+COUNTIF($L$13:L34,L34)-1</f>
        <v>10</v>
      </c>
      <c r="R34" s="6" t="n">
        <f aca="false">RANK(M34,$M$13:$M$37)+COUNTIF($M$13:M34,M34)-1</f>
        <v>11</v>
      </c>
      <c r="S34" s="6" t="n">
        <f aca="false">RANK(N34,$N$13:$N$37)+COUNTIF($N$13:N34,N34)-1</f>
        <v>11</v>
      </c>
      <c r="T34" s="6" t="n">
        <f aca="false">RANK(O34,$O$13:$O$37)+COUNTIF($O$13:O34,O34)-1</f>
        <v>11</v>
      </c>
      <c r="U34" s="26" t="n">
        <f aca="false">COUNTIF(P34:T34,"&lt;=5")</f>
        <v>0</v>
      </c>
      <c r="V34" s="6" t="n">
        <f aca="false">MIN(P34:T34)</f>
        <v>10</v>
      </c>
      <c r="W34" s="6" t="n">
        <f aca="false">MAX(P34:T34)</f>
        <v>11</v>
      </c>
    </row>
    <row r="35" customFormat="false" ht="15" hidden="false" customHeight="false" outlineLevel="0" collapsed="false">
      <c r="A35" s="7" t="str">
        <f aca="false">Scorecard!A28</f>
        <v>ORG-873</v>
      </c>
      <c r="B35" s="7" t="str">
        <f aca="false">Scorecard!B28</f>
        <v>Warden Copper Foil Ltd.</v>
      </c>
      <c r="C35" s="8" t="n">
        <f aca="false">Scorecard!Z28</f>
        <v>36.6583333333333</v>
      </c>
      <c r="D35" s="8" t="n">
        <f aca="false">Scorecard!AA28</f>
        <v>20</v>
      </c>
      <c r="E35" s="8" t="n">
        <f aca="false">Scorecard!Y28</f>
        <v>55.5</v>
      </c>
      <c r="F35" s="8" t="n">
        <f aca="false">Scorecard!AB28</f>
        <v>60</v>
      </c>
      <c r="G35" s="8" t="n">
        <f aca="false">Scorecard!AC28</f>
        <v>0</v>
      </c>
      <c r="H35" s="43" t="n">
        <f aca="false">Scorecard!AI28</f>
        <v>1</v>
      </c>
      <c r="I35" s="8" t="n">
        <f aca="false">Scorecard!AL28</f>
        <v>22.2222222222222</v>
      </c>
      <c r="J35" s="8" t="n">
        <f aca="false">Scorecard!AM28</f>
        <v>100</v>
      </c>
      <c r="K35" s="19" t="n">
        <f aca="false">(H35*100*$F$5+I35*$G$5+J35*$H$5)*MIN(100,C35*$B$5+D35*$C$5+E35*$D$5+F35*$E$5+G35*Assumptions!$B$20)/100</f>
        <v>30.9139166666667</v>
      </c>
      <c r="L35" s="19" t="n">
        <f aca="false">(H35*100*$F$6+I35*$G$6+J35*$H$6)*MIN(100,C35*$B$6+D35*$C$6+E35*$D$6+F35*$E$6+G35*Assumptions!$B$20)/100</f>
        <v>31.8811728395062</v>
      </c>
      <c r="M35" s="19" t="n">
        <f aca="false">(H35*100*$F$7+I35*$G$7+J35*$H$7)*MIN(100,C35*$B$7+D35*$C$7+E35*$D$7+F35*$E$7+G35*Assumptions!$B$20)/100</f>
        <v>30.5740277777778</v>
      </c>
      <c r="N35" s="19" t="n">
        <f aca="false">(H35*100*$F$8+I35*$G$8+J35*$H$8)*MIN(100,C35*$B$8+D35*$C$8+E35*$D$8+F35*$E$8+G35*Assumptions!$B$20)/100</f>
        <v>36.664875</v>
      </c>
      <c r="O35" s="19" t="n">
        <f aca="false">(H35*100*$F$9+I35*$G$9+J35*$H$9)*MIN(100,C35*$B$9+D35*$C$9+E35*$D$9+F35*$E$9+G35*Assumptions!$B$20)/100</f>
        <v>40.3225</v>
      </c>
      <c r="P35" s="6" t="n">
        <f aca="false">RANK(K35,$K$13:$K$37)+COUNTIF($K$13:K35,K35)-1</f>
        <v>8</v>
      </c>
      <c r="Q35" s="6" t="n">
        <f aca="false">RANK(L35,$L$13:$L$37)+COUNTIF($L$13:L35,L35)-1</f>
        <v>6</v>
      </c>
      <c r="R35" s="6" t="n">
        <f aca="false">RANK(M35,$M$13:$M$37)+COUNTIF($M$13:M35,M35)-1</f>
        <v>7</v>
      </c>
      <c r="S35" s="6" t="n">
        <f aca="false">RANK(N35,$N$13:$N$37)+COUNTIF($N$13:N35,N35)-1</f>
        <v>6</v>
      </c>
      <c r="T35" s="6" t="n">
        <f aca="false">RANK(O35,$O$13:$O$37)+COUNTIF($O$13:O35,O35)-1</f>
        <v>9</v>
      </c>
      <c r="U35" s="26" t="n">
        <f aca="false">COUNTIF(P35:T35,"&lt;=5")</f>
        <v>0</v>
      </c>
      <c r="V35" s="6" t="n">
        <f aca="false">MIN(P35:T35)</f>
        <v>6</v>
      </c>
      <c r="W35" s="6" t="n">
        <f aca="false">MAX(P35:T35)</f>
        <v>9</v>
      </c>
    </row>
    <row r="36" customFormat="false" ht="15" hidden="false" customHeight="false" outlineLevel="0" collapsed="false">
      <c r="A36" s="7" t="str">
        <f aca="false">Scorecard!A29</f>
        <v>ORG-179</v>
      </c>
      <c r="B36" s="7" t="str">
        <f aca="false">Scorecard!B29</f>
        <v>Xenon Resin Ltd.</v>
      </c>
      <c r="C36" s="8" t="n">
        <f aca="false">Scorecard!Z29</f>
        <v>36.6583333333333</v>
      </c>
      <c r="D36" s="8" t="n">
        <f aca="false">Scorecard!AA29</f>
        <v>20.25</v>
      </c>
      <c r="E36" s="8" t="n">
        <f aca="false">Scorecard!Y29</f>
        <v>55.5</v>
      </c>
      <c r="F36" s="8" t="n">
        <f aca="false">Scorecard!AB29</f>
        <v>57.3333333333333</v>
      </c>
      <c r="G36" s="8" t="n">
        <f aca="false">Scorecard!AC29</f>
        <v>0</v>
      </c>
      <c r="H36" s="43" t="n">
        <f aca="false">Scorecard!AI29</f>
        <v>1</v>
      </c>
      <c r="I36" s="8" t="n">
        <f aca="false">Scorecard!AL29</f>
        <v>22.2222222222222</v>
      </c>
      <c r="J36" s="8" t="n">
        <f aca="false">Scorecard!AM29</f>
        <v>100</v>
      </c>
      <c r="K36" s="19" t="n">
        <f aca="false">(H36*100*$F$5+I36*$G$5+J36*$H$5)*MIN(100,C36*$B$5+D36*$C$5+E36*$D$5+F36*$E$5+G36*Assumptions!$B$20)/100</f>
        <v>30.4603055555556</v>
      </c>
      <c r="L36" s="19" t="n">
        <f aca="false">(H36*100*$F$6+I36*$G$6+J36*$H$6)*MIN(100,C36*$B$6+D36*$C$6+E36*$D$6+F36*$E$6+G36*Assumptions!$B$20)/100</f>
        <v>31.4336419753086</v>
      </c>
      <c r="M36" s="19" t="n">
        <f aca="false">(H36*100*$F$7+I36*$G$7+J36*$H$7)*MIN(100,C36*$B$7+D36*$C$7+E36*$D$7+F36*$E$7+G36*Assumptions!$B$20)/100</f>
        <v>30.2034722222222</v>
      </c>
      <c r="N36" s="19" t="n">
        <f aca="false">(H36*100*$F$8+I36*$G$8+J36*$H$8)*MIN(100,C36*$B$8+D36*$C$8+E36*$D$8+F36*$E$8+G36*Assumptions!$B$20)/100</f>
        <v>35.6809861111111</v>
      </c>
      <c r="O36" s="19" t="n">
        <f aca="false">(H36*100*$F$9+I36*$G$9+J36*$H$9)*MIN(100,C36*$B$9+D36*$C$9+E36*$D$9+F36*$E$9+G36*Assumptions!$B$20)/100</f>
        <v>39.7308333333333</v>
      </c>
      <c r="P36" s="6" t="n">
        <f aca="false">RANK(K36,$K$13:$K$37)+COUNTIF($K$13:K36,K36)-1</f>
        <v>10</v>
      </c>
      <c r="Q36" s="6" t="n">
        <f aca="false">RANK(L36,$L$13:$L$37)+COUNTIF($L$13:L36,L36)-1</f>
        <v>7</v>
      </c>
      <c r="R36" s="6" t="n">
        <f aca="false">RANK(M36,$M$13:$M$37)+COUNTIF($M$13:M36,M36)-1</f>
        <v>8</v>
      </c>
      <c r="S36" s="6" t="n">
        <f aca="false">RANK(N36,$N$13:$N$37)+COUNTIF($N$13:N36,N36)-1</f>
        <v>7</v>
      </c>
      <c r="T36" s="6" t="n">
        <f aca="false">RANK(O36,$O$13:$O$37)+COUNTIF($O$13:O36,O36)-1</f>
        <v>10</v>
      </c>
      <c r="U36" s="26" t="n">
        <f aca="false">COUNTIF(P36:T36,"&lt;=5")</f>
        <v>0</v>
      </c>
      <c r="V36" s="6" t="n">
        <f aca="false">MIN(P36:T36)</f>
        <v>7</v>
      </c>
      <c r="W36" s="6" t="n">
        <f aca="false">MAX(P36:T36)</f>
        <v>10</v>
      </c>
    </row>
    <row r="37" customFormat="false" ht="15" hidden="false" customHeight="false" outlineLevel="0" collapsed="false">
      <c r="A37" s="7" t="str">
        <f aca="false">Scorecard!A30</f>
        <v>ORG-659</v>
      </c>
      <c r="B37" s="7" t="str">
        <f aca="false">Scorecard!B30</f>
        <v>Zenith Polymer Ltd.</v>
      </c>
      <c r="C37" s="8" t="n">
        <f aca="false">Scorecard!Z30</f>
        <v>36.6583333333333</v>
      </c>
      <c r="D37" s="8" t="n">
        <f aca="false">Scorecard!AA30</f>
        <v>23.625</v>
      </c>
      <c r="E37" s="8" t="n">
        <f aca="false">Scorecard!Y30</f>
        <v>55.5</v>
      </c>
      <c r="F37" s="8" t="n">
        <f aca="false">Scorecard!AB30</f>
        <v>23.3333333333333</v>
      </c>
      <c r="G37" s="8" t="n">
        <f aca="false">Scorecard!AC30</f>
        <v>0</v>
      </c>
      <c r="H37" s="43" t="n">
        <f aca="false">Scorecard!AI30</f>
        <v>0.733333333333333</v>
      </c>
      <c r="I37" s="8" t="n">
        <f aca="false">Scorecard!AL30</f>
        <v>33.3333333333333</v>
      </c>
      <c r="J37" s="8" t="n">
        <f aca="false">Scorecard!AM30</f>
        <v>33.3333333333333</v>
      </c>
      <c r="K37" s="19" t="n">
        <f aca="false">(H37*100*$F$5+I37*$G$5+J37*$H$5)*MIN(100,C37*$B$5+D37*$C$5+E37*$D$5+F37*$E$5+G37*Assumptions!$B$20)/100</f>
        <v>17.1964444444444</v>
      </c>
      <c r="L37" s="19" t="n">
        <f aca="false">(H37*100*$F$6+I37*$G$6+J37*$H$6)*MIN(100,C37*$B$6+D37*$C$6+E37*$D$6+F37*$E$6+G37*Assumptions!$B$20)/100</f>
        <v>16.2302777777778</v>
      </c>
      <c r="M37" s="19" t="n">
        <f aca="false">(H37*100*$F$7+I37*$G$7+J37*$H$7)*MIN(100,C37*$B$7+D37*$C$7+E37*$D$7+F37*$E$7+G37*Assumptions!$B$20)/100</f>
        <v>17.7444444444444</v>
      </c>
      <c r="N37" s="19" t="n">
        <f aca="false">(H37*100*$F$8+I37*$G$8+J37*$H$8)*MIN(100,C37*$B$8+D37*$C$8+E37*$D$8+F37*$E$8+G37*Assumptions!$B$20)/100</f>
        <v>16.1148888888889</v>
      </c>
      <c r="O37" s="19" t="n">
        <f aca="false">(H37*100*$F$9+I37*$G$9+J37*$H$9)*MIN(100,C37*$B$9+D37*$C$9+E37*$D$9+F37*$E$9+G37*Assumptions!$B$20)/100</f>
        <v>23.6451111111111</v>
      </c>
      <c r="P37" s="6" t="n">
        <f aca="false">RANK(K37,$K$13:$K$37)+COUNTIF($K$13:K37,K37)-1</f>
        <v>16</v>
      </c>
      <c r="Q37" s="6" t="n">
        <f aca="false">RANK(L37,$L$13:$L$37)+COUNTIF($L$13:L37,L37)-1</f>
        <v>16</v>
      </c>
      <c r="R37" s="6" t="n">
        <f aca="false">RANK(M37,$M$13:$M$37)+COUNTIF($M$13:M37,M37)-1</f>
        <v>15</v>
      </c>
      <c r="S37" s="6" t="n">
        <f aca="false">RANK(N37,$N$13:$N$37)+COUNTIF($N$13:N37,N37)-1</f>
        <v>18</v>
      </c>
      <c r="T37" s="6" t="n">
        <f aca="false">RANK(O37,$O$13:$O$37)+COUNTIF($O$13:O37,O37)-1</f>
        <v>17</v>
      </c>
      <c r="U37" s="26" t="n">
        <f aca="false">COUNTIF(P37:T37,"&lt;=5")</f>
        <v>0</v>
      </c>
      <c r="V37" s="6" t="n">
        <f aca="false">MIN(P37:T37)</f>
        <v>15</v>
      </c>
      <c r="W37" s="6" t="n">
        <f aca="false">MAX(P37:T37)</f>
        <v>18</v>
      </c>
    </row>
    <row r="39" customFormat="false" ht="15" hidden="false" customHeight="false" outlineLevel="0" collapsed="false">
      <c r="A39" s="48" t="s">
        <v>1227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4"/>
    <col collapsed="false" customWidth="true" hidden="false" outlineLevel="0" max="7" min="4" style="0" width="12"/>
    <col collapsed="false" customWidth="true" hidden="false" outlineLevel="0" max="13" min="8" style="0" width="8"/>
    <col collapsed="false" customWidth="true" hidden="false" outlineLevel="0" max="14" min="14" style="0" width="60"/>
  </cols>
  <sheetData>
    <row r="1" customFormat="false" ht="17.35" hidden="false" customHeight="false" outlineLevel="0" collapsed="false">
      <c r="A1" s="1" t="s">
        <v>1228</v>
      </c>
    </row>
    <row r="2" customFormat="false" ht="15" hidden="false" customHeight="false" outlineLevel="0" collapsed="false">
      <c r="A2" s="12" t="s">
        <v>1229</v>
      </c>
    </row>
    <row r="4" customFormat="false" ht="23.85" hidden="false" customHeight="false" outlineLevel="0" collapsed="false">
      <c r="A4" s="5" t="s">
        <v>1230</v>
      </c>
      <c r="B4" s="5" t="s">
        <v>1231</v>
      </c>
      <c r="C4" s="5" t="s">
        <v>1232</v>
      </c>
      <c r="D4" s="62" t="s">
        <v>1233</v>
      </c>
    </row>
    <row r="5" customFormat="false" ht="46.25" hidden="false" customHeight="false" outlineLevel="0" collapsed="false">
      <c r="A5" s="6" t="s">
        <v>1234</v>
      </c>
      <c r="B5" s="63" t="n">
        <v>624</v>
      </c>
      <c r="C5" s="24" t="n">
        <f aca="false">B5/52</f>
        <v>12</v>
      </c>
      <c r="D5" s="14" t="s">
        <v>1235</v>
      </c>
    </row>
    <row r="6" customFormat="false" ht="46.25" hidden="false" customHeight="false" outlineLevel="0" collapsed="false">
      <c r="A6" s="6" t="s">
        <v>1236</v>
      </c>
      <c r="B6" s="63" t="n">
        <v>520</v>
      </c>
      <c r="C6" s="24" t="n">
        <f aca="false">B6/52</f>
        <v>10</v>
      </c>
      <c r="D6" s="14" t="s">
        <v>1235</v>
      </c>
    </row>
    <row r="7" customFormat="false" ht="46.25" hidden="false" customHeight="false" outlineLevel="0" collapsed="false">
      <c r="A7" s="6" t="s">
        <v>1237</v>
      </c>
      <c r="B7" s="63" t="n">
        <v>416</v>
      </c>
      <c r="C7" s="24" t="n">
        <f aca="false">B7/52</f>
        <v>8</v>
      </c>
      <c r="D7" s="14" t="s">
        <v>1235</v>
      </c>
    </row>
    <row r="8" customFormat="false" ht="15" hidden="false" customHeight="false" outlineLevel="0" collapsed="false">
      <c r="A8" s="26" t="s">
        <v>1238</v>
      </c>
      <c r="B8" s="52" t="n">
        <f aca="false">SUM(B5:B7)</f>
        <v>1560</v>
      </c>
      <c r="C8" s="64" t="n">
        <f aca="false">SUM(C5:C7)</f>
        <v>30</v>
      </c>
      <c r="D8" s="65"/>
    </row>
    <row r="9" customFormat="false" ht="15" hidden="false" customHeight="false" outlineLevel="0" collapsed="false">
      <c r="D9" s="65"/>
    </row>
    <row r="10" customFormat="false" ht="15" hidden="false" customHeight="false" outlineLevel="0" collapsed="false">
      <c r="A10" s="41" t="s">
        <v>1239</v>
      </c>
      <c r="D10" s="65"/>
    </row>
    <row r="11" customFormat="false" ht="57.45" hidden="false" customHeight="false" outlineLevel="0" collapsed="false">
      <c r="A11" s="6" t="s">
        <v>1240</v>
      </c>
      <c r="B11" s="66" t="n">
        <v>0.3</v>
      </c>
      <c r="D11" s="14" t="s">
        <v>1241</v>
      </c>
    </row>
    <row r="12" customFormat="false" ht="57.45" hidden="false" customHeight="false" outlineLevel="0" collapsed="false">
      <c r="A12" s="6" t="s">
        <v>1242</v>
      </c>
      <c r="B12" s="66" t="n">
        <v>0.3</v>
      </c>
      <c r="D12" s="14" t="s">
        <v>1243</v>
      </c>
    </row>
    <row r="13" customFormat="false" ht="57.45" hidden="false" customHeight="false" outlineLevel="0" collapsed="false">
      <c r="A13" s="6" t="s">
        <v>1244</v>
      </c>
      <c r="B13" s="66" t="n">
        <v>0.15</v>
      </c>
      <c r="D13" s="14" t="s">
        <v>1245</v>
      </c>
    </row>
    <row r="14" customFormat="false" ht="35.05" hidden="false" customHeight="false" outlineLevel="0" collapsed="false">
      <c r="A14" s="6" t="s">
        <v>1246</v>
      </c>
      <c r="B14" s="66" t="n">
        <v>0.25</v>
      </c>
      <c r="D14" s="14" t="s">
        <v>1247</v>
      </c>
    </row>
    <row r="15" customFormat="false" ht="15" hidden="false" customHeight="false" outlineLevel="0" collapsed="false">
      <c r="A15" s="26" t="s">
        <v>1248</v>
      </c>
      <c r="B15" s="67" t="n">
        <f aca="false">SUM(B11:B14)</f>
        <v>1</v>
      </c>
      <c r="D15" s="65"/>
    </row>
    <row r="16" customFormat="false" ht="15" hidden="false" customHeight="false" outlineLevel="0" collapsed="false">
      <c r="A16" s="6" t="s">
        <v>1249</v>
      </c>
      <c r="B16" s="42" t="n">
        <v>0.5</v>
      </c>
      <c r="D16" s="65"/>
    </row>
    <row r="17" customFormat="false" ht="15" hidden="false" customHeight="false" outlineLevel="0" collapsed="false">
      <c r="A17" s="6" t="s">
        <v>1250</v>
      </c>
      <c r="B17" s="42" t="n">
        <v>0.5</v>
      </c>
      <c r="D17" s="65"/>
    </row>
    <row r="18" customFormat="false" ht="15" hidden="false" customHeight="false" outlineLevel="0" collapsed="false">
      <c r="A18" s="6" t="s">
        <v>1251</v>
      </c>
      <c r="B18" s="42" t="n">
        <v>0.5</v>
      </c>
      <c r="D18" s="65"/>
    </row>
    <row r="19" customFormat="false" ht="15" hidden="false" customHeight="false" outlineLevel="0" collapsed="false">
      <c r="A19" s="6" t="s">
        <v>1252</v>
      </c>
      <c r="B19" s="42" t="n">
        <v>0.5</v>
      </c>
      <c r="D19" s="65"/>
    </row>
    <row r="20" customFormat="false" ht="191.75" hidden="false" customHeight="false" outlineLevel="0" collapsed="false">
      <c r="A20" s="6" t="s">
        <v>1253</v>
      </c>
      <c r="B20" s="68" t="n">
        <v>10</v>
      </c>
      <c r="D20" s="14" t="s">
        <v>1254</v>
      </c>
    </row>
    <row r="21" customFormat="false" ht="15" hidden="false" customHeight="false" outlineLevel="0" collapsed="false">
      <c r="D21" s="65"/>
    </row>
    <row r="22" customFormat="false" ht="15" hidden="false" customHeight="false" outlineLevel="0" collapsed="false">
      <c r="A22" s="41" t="s">
        <v>1255</v>
      </c>
      <c r="D22" s="65"/>
    </row>
    <row r="23" customFormat="false" ht="68.65" hidden="false" customHeight="false" outlineLevel="0" collapsed="false">
      <c r="A23" s="6" t="s">
        <v>1256</v>
      </c>
      <c r="B23" s="66" t="n">
        <v>0.5</v>
      </c>
      <c r="D23" s="14" t="s">
        <v>1257</v>
      </c>
    </row>
    <row r="24" customFormat="false" ht="46.25" hidden="false" customHeight="false" outlineLevel="0" collapsed="false">
      <c r="A24" s="6" t="s">
        <v>1258</v>
      </c>
      <c r="B24" s="66" t="n">
        <v>0.3</v>
      </c>
      <c r="D24" s="14" t="s">
        <v>1259</v>
      </c>
    </row>
    <row r="25" customFormat="false" ht="57.45" hidden="false" customHeight="false" outlineLevel="0" collapsed="false">
      <c r="A25" s="6" t="s">
        <v>1260</v>
      </c>
      <c r="B25" s="66" t="n">
        <v>0.2</v>
      </c>
      <c r="D25" s="14" t="s">
        <v>1261</v>
      </c>
    </row>
    <row r="26" customFormat="false" ht="46.25" hidden="false" customHeight="false" outlineLevel="0" collapsed="false">
      <c r="A26" s="6" t="s">
        <v>1262</v>
      </c>
      <c r="B26" s="68" t="n">
        <v>36</v>
      </c>
      <c r="D26" s="14" t="s">
        <v>1263</v>
      </c>
    </row>
    <row r="27" customFormat="false" ht="46.25" hidden="false" customHeight="false" outlineLevel="0" collapsed="false">
      <c r="A27" s="6" t="s">
        <v>1264</v>
      </c>
      <c r="B27" s="68" t="n">
        <v>3</v>
      </c>
      <c r="D27" s="14" t="s">
        <v>1265</v>
      </c>
    </row>
    <row r="28" customFormat="false" ht="15" hidden="false" customHeight="false" outlineLevel="0" collapsed="false">
      <c r="D28" s="65"/>
    </row>
    <row r="29" customFormat="false" ht="15" hidden="false" customHeight="false" outlineLevel="0" collapsed="false">
      <c r="A29" s="41" t="s">
        <v>1266</v>
      </c>
      <c r="D29" s="65"/>
    </row>
    <row r="30" customFormat="false" ht="15" hidden="false" customHeight="false" outlineLevel="0" collapsed="false">
      <c r="A30" s="5" t="s">
        <v>1267</v>
      </c>
      <c r="B30" s="5" t="s">
        <v>1268</v>
      </c>
      <c r="C30" s="5" t="s">
        <v>1269</v>
      </c>
      <c r="D30" s="62" t="s">
        <v>1270</v>
      </c>
      <c r="E30" s="5" t="s">
        <v>1271</v>
      </c>
      <c r="F30" s="5" t="s">
        <v>1272</v>
      </c>
      <c r="G30" s="5" t="s">
        <v>1273</v>
      </c>
      <c r="H30" s="5" t="s">
        <v>1274</v>
      </c>
      <c r="I30" s="5" t="s">
        <v>1275</v>
      </c>
      <c r="J30" s="5" t="s">
        <v>1276</v>
      </c>
      <c r="K30" s="5" t="s">
        <v>1277</v>
      </c>
      <c r="L30" s="5" t="s">
        <v>1278</v>
      </c>
      <c r="M30" s="5" t="s">
        <v>1279</v>
      </c>
      <c r="N30" s="5" t="s">
        <v>1280</v>
      </c>
    </row>
    <row r="31" customFormat="false" ht="15" hidden="false" customHeight="false" outlineLevel="0" collapsed="false">
      <c r="A31" s="6" t="s">
        <v>1281</v>
      </c>
      <c r="B31" s="16" t="n">
        <v>0</v>
      </c>
      <c r="C31" s="16" t="n">
        <v>1.25</v>
      </c>
      <c r="D31" s="15" t="n">
        <v>2.5</v>
      </c>
      <c r="E31" s="16" t="n">
        <v>4</v>
      </c>
      <c r="F31" s="16" t="n">
        <v>5.5</v>
      </c>
      <c r="G31" s="16" t="n">
        <v>7</v>
      </c>
      <c r="H31" s="16" t="n">
        <v>0</v>
      </c>
      <c r="I31" s="16" t="n">
        <v>15</v>
      </c>
      <c r="J31" s="16" t="n">
        <v>30</v>
      </c>
      <c r="K31" s="16" t="n">
        <v>70</v>
      </c>
      <c r="L31" s="16" t="n">
        <v>85</v>
      </c>
      <c r="M31" s="16" t="n">
        <v>100</v>
      </c>
      <c r="N31" s="6" t="s">
        <v>1282</v>
      </c>
    </row>
    <row r="32" customFormat="false" ht="15" hidden="false" customHeight="false" outlineLevel="0" collapsed="false">
      <c r="A32" s="6" t="s">
        <v>1283</v>
      </c>
      <c r="B32" s="16" t="n">
        <v>0.5</v>
      </c>
      <c r="C32" s="16" t="n">
        <v>0.75</v>
      </c>
      <c r="D32" s="15" t="n">
        <v>1</v>
      </c>
      <c r="E32" s="16" t="n">
        <v>1.5</v>
      </c>
      <c r="F32" s="16" t="n">
        <v>2</v>
      </c>
      <c r="G32" s="16" t="n">
        <v>2.5</v>
      </c>
      <c r="H32" s="16" t="n">
        <v>100</v>
      </c>
      <c r="I32" s="16" t="n">
        <v>85</v>
      </c>
      <c r="J32" s="16" t="n">
        <v>70</v>
      </c>
      <c r="K32" s="16" t="n">
        <v>30</v>
      </c>
      <c r="L32" s="16" t="n">
        <v>15</v>
      </c>
      <c r="M32" s="16" t="n">
        <v>0</v>
      </c>
      <c r="N32" s="6" t="s">
        <v>1284</v>
      </c>
    </row>
    <row r="33" customFormat="false" ht="15" hidden="false" customHeight="false" outlineLevel="0" collapsed="false">
      <c r="A33" s="6" t="s">
        <v>1285</v>
      </c>
      <c r="B33" s="16" t="n">
        <v>75</v>
      </c>
      <c r="C33" s="16" t="n">
        <v>80</v>
      </c>
      <c r="D33" s="15" t="n">
        <v>85</v>
      </c>
      <c r="E33" s="16" t="n">
        <v>90</v>
      </c>
      <c r="F33" s="16" t="n">
        <v>92.5</v>
      </c>
      <c r="G33" s="16" t="n">
        <v>95</v>
      </c>
      <c r="H33" s="16" t="n">
        <v>100</v>
      </c>
      <c r="I33" s="16" t="n">
        <v>75</v>
      </c>
      <c r="J33" s="16" t="n">
        <v>50</v>
      </c>
      <c r="K33" s="16" t="n">
        <v>25</v>
      </c>
      <c r="L33" s="16" t="n">
        <v>12.5</v>
      </c>
      <c r="M33" s="16" t="n">
        <v>0</v>
      </c>
      <c r="N33" s="6" t="s">
        <v>1286</v>
      </c>
    </row>
    <row r="34" customFormat="false" ht="15" hidden="false" customHeight="false" outlineLevel="0" collapsed="false">
      <c r="A34" s="6" t="s">
        <v>1287</v>
      </c>
      <c r="B34" s="16" t="n">
        <v>-15</v>
      </c>
      <c r="C34" s="16" t="n">
        <v>-10</v>
      </c>
      <c r="D34" s="15" t="n">
        <v>-5</v>
      </c>
      <c r="E34" s="16" t="n">
        <v>-2</v>
      </c>
      <c r="F34" s="16" t="n">
        <v>0</v>
      </c>
      <c r="G34" s="16" t="n">
        <v>2</v>
      </c>
      <c r="H34" s="16" t="n">
        <v>100</v>
      </c>
      <c r="I34" s="16" t="n">
        <v>80</v>
      </c>
      <c r="J34" s="16" t="n">
        <v>55</v>
      </c>
      <c r="K34" s="16" t="n">
        <v>35</v>
      </c>
      <c r="L34" s="16" t="n">
        <v>20</v>
      </c>
      <c r="M34" s="16" t="n">
        <v>0</v>
      </c>
      <c r="N34" s="6" t="s">
        <v>1288</v>
      </c>
    </row>
    <row r="35" customFormat="false" ht="15" hidden="false" customHeight="false" outlineLevel="0" collapsed="false">
      <c r="D35" s="65"/>
    </row>
    <row r="36" customFormat="false" ht="169.4" hidden="false" customHeight="false" outlineLevel="0" collapsed="false">
      <c r="A36" s="26" t="s">
        <v>1289</v>
      </c>
      <c r="B36" s="66" t="n">
        <v>0.75</v>
      </c>
      <c r="D36" s="14" t="s">
        <v>1290</v>
      </c>
    </row>
    <row r="37" customFormat="false" ht="15" hidden="false" customHeight="false" outlineLevel="0" collapsed="false">
      <c r="D37" s="65"/>
    </row>
    <row r="38" customFormat="false" ht="15" hidden="false" customHeight="false" outlineLevel="0" collapsed="false">
      <c r="A38" s="41" t="s">
        <v>1291</v>
      </c>
      <c r="D38" s="65"/>
    </row>
    <row r="39" customFormat="false" ht="15" hidden="false" customHeight="false" outlineLevel="0" collapsed="false">
      <c r="A39" s="6" t="s">
        <v>1292</v>
      </c>
      <c r="B39" s="16" t="n">
        <v>45</v>
      </c>
      <c r="D39" s="65"/>
    </row>
    <row r="40" customFormat="false" ht="15" hidden="false" customHeight="false" outlineLevel="0" collapsed="false">
      <c r="A40" s="6" t="s">
        <v>1293</v>
      </c>
      <c r="B40" s="16" t="n">
        <v>30</v>
      </c>
      <c r="D40" s="65"/>
    </row>
    <row r="41" customFormat="false" ht="15" hidden="false" customHeight="false" outlineLevel="0" collapsed="false">
      <c r="A41" s="6" t="s">
        <v>1294</v>
      </c>
      <c r="B41" s="16" t="n">
        <v>20</v>
      </c>
      <c r="D41" s="65"/>
    </row>
    <row r="42" customFormat="false" ht="15" hidden="false" customHeight="false" outlineLevel="0" collapsed="false">
      <c r="A42" s="6" t="s">
        <v>1295</v>
      </c>
      <c r="B42" s="16" t="n">
        <v>60</v>
      </c>
      <c r="D42" s="65"/>
    </row>
    <row r="43" customFormat="false" ht="15" hidden="false" customHeight="false" outlineLevel="0" collapsed="false">
      <c r="A43" s="6" t="s">
        <v>1296</v>
      </c>
      <c r="B43" s="16" t="n">
        <v>45</v>
      </c>
      <c r="D43" s="65"/>
    </row>
    <row r="44" customFormat="false" ht="15" hidden="false" customHeight="false" outlineLevel="0" collapsed="false">
      <c r="A44" s="6" t="s">
        <v>1297</v>
      </c>
      <c r="B44" s="16" t="n">
        <v>5</v>
      </c>
      <c r="D44" s="65"/>
    </row>
    <row r="45" customFormat="false" ht="15" hidden="false" customHeight="false" outlineLevel="0" collapsed="false">
      <c r="A45" s="6" t="s">
        <v>1298</v>
      </c>
      <c r="B45" s="16" t="n">
        <v>3</v>
      </c>
      <c r="D45" s="65"/>
    </row>
    <row r="46" customFormat="false" ht="202.95" hidden="false" customHeight="false" outlineLevel="0" collapsed="false">
      <c r="D46" s="14" t="s">
        <v>1299</v>
      </c>
    </row>
    <row r="47" customFormat="false" ht="15" hidden="false" customHeight="false" outlineLevel="0" collapsed="false">
      <c r="D47" s="65"/>
    </row>
    <row r="48" customFormat="false" ht="15" hidden="false" customHeight="false" outlineLevel="0" collapsed="false">
      <c r="A48" s="41" t="s">
        <v>1300</v>
      </c>
      <c r="D48" s="65"/>
    </row>
    <row r="49" customFormat="false" ht="15" hidden="false" customHeight="false" outlineLevel="0" collapsed="false">
      <c r="A49" s="6" t="s">
        <v>1301</v>
      </c>
      <c r="B49" s="66" t="n">
        <v>0.25</v>
      </c>
      <c r="D49" s="65"/>
    </row>
    <row r="50" customFormat="false" ht="15" hidden="false" customHeight="false" outlineLevel="0" collapsed="false">
      <c r="A50" s="6" t="s">
        <v>1302</v>
      </c>
      <c r="B50" s="66" t="n">
        <v>0.2</v>
      </c>
      <c r="D50" s="65"/>
    </row>
    <row r="51" customFormat="false" ht="15" hidden="false" customHeight="false" outlineLevel="0" collapsed="false">
      <c r="A51" s="6" t="s">
        <v>1303</v>
      </c>
      <c r="B51" s="66" t="n">
        <v>0.2</v>
      </c>
      <c r="D51" s="65"/>
    </row>
    <row r="52" customFormat="false" ht="15" hidden="false" customHeight="false" outlineLevel="0" collapsed="false">
      <c r="A52" s="6" t="s">
        <v>1304</v>
      </c>
      <c r="B52" s="66" t="n">
        <v>0.15</v>
      </c>
      <c r="D52" s="65"/>
    </row>
    <row r="53" customFormat="false" ht="15" hidden="false" customHeight="false" outlineLevel="0" collapsed="false">
      <c r="A53" s="6" t="s">
        <v>1305</v>
      </c>
      <c r="B53" s="66" t="n">
        <v>0.1</v>
      </c>
      <c r="D53" s="65"/>
    </row>
    <row r="54" customFormat="false" ht="15" hidden="false" customHeight="false" outlineLevel="0" collapsed="false">
      <c r="A54" s="6" t="s">
        <v>1306</v>
      </c>
      <c r="B54" s="66" t="n">
        <v>0.1</v>
      </c>
      <c r="D54" s="65"/>
    </row>
    <row r="55" customFormat="false" ht="15" hidden="false" customHeight="false" outlineLevel="0" collapsed="false">
      <c r="A55" s="26" t="s">
        <v>1307</v>
      </c>
      <c r="B55" s="67" t="n">
        <f aca="false">SUM(B49:B54)</f>
        <v>1</v>
      </c>
      <c r="D55" s="65"/>
    </row>
    <row r="56" customFormat="false" ht="15" hidden="false" customHeight="false" outlineLevel="0" collapsed="false">
      <c r="A56" s="6" t="s">
        <v>1308</v>
      </c>
      <c r="B56" s="16" t="n">
        <v>75</v>
      </c>
      <c r="D56" s="65"/>
    </row>
    <row r="57" customFormat="false" ht="15" hidden="false" customHeight="false" outlineLevel="0" collapsed="false">
      <c r="A57" s="6" t="s">
        <v>1309</v>
      </c>
      <c r="B57" s="16" t="n">
        <v>60</v>
      </c>
      <c r="D57" s="65"/>
    </row>
    <row r="58" customFormat="false" ht="15" hidden="false" customHeight="false" outlineLevel="0" collapsed="false">
      <c r="D58" s="65"/>
    </row>
    <row r="59" customFormat="false" ht="15" hidden="false" customHeight="false" outlineLevel="0" collapsed="false">
      <c r="A59" s="41" t="s">
        <v>1310</v>
      </c>
      <c r="D59" s="65"/>
    </row>
    <row r="60" customFormat="false" ht="15" hidden="false" customHeight="false" outlineLevel="0" collapsed="false">
      <c r="A60" s="6" t="s">
        <v>1311</v>
      </c>
      <c r="B60" s="16" t="n">
        <v>35</v>
      </c>
      <c r="D60" s="65"/>
    </row>
    <row r="61" customFormat="false" ht="15" hidden="false" customHeight="false" outlineLevel="0" collapsed="false">
      <c r="A61" s="6" t="s">
        <v>1312</v>
      </c>
      <c r="B61" s="16" t="n">
        <v>15</v>
      </c>
      <c r="D61" s="65"/>
    </row>
    <row r="62" customFormat="false" ht="15" hidden="false" customHeight="false" outlineLevel="0" collapsed="false">
      <c r="A62" s="6" t="s">
        <v>1313</v>
      </c>
      <c r="B62" s="16" t="n">
        <v>5</v>
      </c>
      <c r="D62" s="65"/>
    </row>
    <row r="63" customFormat="false" ht="15" hidden="false" customHeight="false" outlineLevel="0" collapsed="false">
      <c r="A63" s="6" t="s">
        <v>1314</v>
      </c>
      <c r="B63" s="16" t="n">
        <v>90</v>
      </c>
      <c r="D63" s="65"/>
    </row>
    <row r="64" customFormat="false" ht="91" hidden="false" customHeight="false" outlineLevel="0" collapsed="false">
      <c r="A64" s="6" t="s">
        <v>1315</v>
      </c>
      <c r="B64" s="55" t="n">
        <v>45930</v>
      </c>
      <c r="D64" s="14" t="s">
        <v>1316</v>
      </c>
    </row>
    <row r="65" customFormat="false" ht="214.15" hidden="false" customHeight="false" outlineLevel="0" collapsed="false">
      <c r="A65" s="6" t="s">
        <v>1317</v>
      </c>
      <c r="B65" s="55" t="n">
        <v>46297</v>
      </c>
      <c r="D65" s="14" t="s">
        <v>1318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0"/>
    <col collapsed="false" customWidth="true" hidden="false" outlineLevel="0" max="3" min="3" style="0" width="26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1319</v>
      </c>
    </row>
    <row r="2" customFormat="false" ht="15" hidden="false" customHeight="false" outlineLevel="0" collapsed="false">
      <c r="A2" s="12" t="s">
        <v>1320</v>
      </c>
    </row>
    <row r="4" customFormat="false" ht="15" hidden="false" customHeight="false" outlineLevel="0" collapsed="false">
      <c r="A4" s="5" t="s">
        <v>840</v>
      </c>
      <c r="B4" s="5" t="s">
        <v>1321</v>
      </c>
      <c r="C4" s="5" t="s">
        <v>1322</v>
      </c>
      <c r="D4" s="5" t="s">
        <v>1323</v>
      </c>
    </row>
    <row r="5" customFormat="false" ht="15" hidden="false" customHeight="false" outlineLevel="0" collapsed="false">
      <c r="A5" s="6" t="n">
        <v>1</v>
      </c>
      <c r="B5" s="14" t="s">
        <v>1324</v>
      </c>
      <c r="C5" s="43" t="n">
        <f aca="false">Assumptions!B15</f>
        <v>1</v>
      </c>
      <c r="D5" s="26" t="str">
        <f aca="false">IF(ABS(C5-1)&lt;0.0001,"PASS","FAIL")</f>
        <v>PASS</v>
      </c>
    </row>
    <row r="6" customFormat="false" ht="15" hidden="false" customHeight="false" outlineLevel="0" collapsed="false">
      <c r="A6" s="6" t="n">
        <v>2</v>
      </c>
      <c r="B6" s="14" t="s">
        <v>1325</v>
      </c>
      <c r="C6" s="43" t="n">
        <f aca="false">SUM(Assumptions!B23:B25)</f>
        <v>1</v>
      </c>
      <c r="D6" s="26" t="str">
        <f aca="false">IF(ABS(C6-1)&lt;0.0001,"PASS","FAIL")</f>
        <v>PASS</v>
      </c>
    </row>
    <row r="7" customFormat="false" ht="15" hidden="false" customHeight="false" outlineLevel="0" collapsed="false">
      <c r="A7" s="6" t="n">
        <v>3</v>
      </c>
      <c r="B7" s="14" t="s">
        <v>1326</v>
      </c>
      <c r="C7" s="43" t="n">
        <f aca="false">Assumptions!B55</f>
        <v>1</v>
      </c>
      <c r="D7" s="26" t="str">
        <f aca="false">IF(ABS(C7-1)&lt;0.0001,"PASS","FAIL")</f>
        <v>PASS</v>
      </c>
    </row>
    <row r="8" customFormat="false" ht="15" hidden="false" customHeight="false" outlineLevel="0" collapsed="false">
      <c r="A8" s="6" t="n">
        <v>4</v>
      </c>
      <c r="B8" s="14" t="s">
        <v>1327</v>
      </c>
      <c r="C8" s="7" t="str">
        <f aca="false">ALERT_HIGH&amp;" / "&amp;ALERT_MEDIUM&amp;" / "&amp;ALERT_LOW</f>
        <v>35 / 15 / 5</v>
      </c>
      <c r="D8" s="26" t="str">
        <f aca="false">IF(AND(ALERT_HIGH&gt;ALERT_MEDIUM,ALERT_MEDIUM&gt;ALERT_LOW),"PASS","FAIL")</f>
        <v>PASS</v>
      </c>
    </row>
    <row r="9" customFormat="false" ht="23.85" hidden="false" customHeight="false" outlineLevel="0" collapsed="false">
      <c r="A9" s="6" t="n">
        <v>5</v>
      </c>
      <c r="B9" s="14" t="s">
        <v>1328</v>
      </c>
      <c r="C9" s="53" t="n">
        <f aca="false">STALE_DAYS</f>
        <v>90</v>
      </c>
      <c r="D9" s="26" t="str">
        <f aca="false">IF(AND(ISNUMBER(STALE_DAYS),STALE_DAYS&gt;ALERT_HIGH),"PASS","FAIL")</f>
        <v>PASS</v>
      </c>
    </row>
    <row r="10" customFormat="false" ht="15" hidden="false" customHeight="false" outlineLevel="0" collapsed="false">
      <c r="A10" s="6" t="n">
        <v>6</v>
      </c>
      <c r="B10" s="14" t="s">
        <v>1329</v>
      </c>
      <c r="C10" s="7" t="str">
        <f aca="false">TEXT(CASE_CUTOFF,"yyyy-mm-dd")&amp;" → "&amp;TEXT(RESEARCH_ASOF,"yyyy-mm-dd")</f>
        <v>2025-09-30 → 2026-10-02</v>
      </c>
      <c r="D10" s="26" t="str">
        <f aca="false">IF(RESEARCH_ASOF&gt;=CASE_CUTOFF,"PASS","FAIL")</f>
        <v>PASS</v>
      </c>
    </row>
    <row r="11" customFormat="false" ht="15" hidden="false" customHeight="false" outlineLevel="0" collapsed="false">
      <c r="A11" s="6" t="n">
        <v>7</v>
      </c>
      <c r="B11" s="14" t="s">
        <v>1330</v>
      </c>
      <c r="C11" s="53" t="n">
        <f aca="false">SUMPRODUCT((COUNTIF(Scorecard!AP6:AP30,Scorecard!AP6:AP30)=1)*1)</f>
        <v>25</v>
      </c>
      <c r="D11" s="26" t="str">
        <f aca="false">IF(C11=25,"PASS","FAIL")</f>
        <v>PASS</v>
      </c>
    </row>
    <row r="12" customFormat="false" ht="15" hidden="false" customHeight="false" outlineLevel="0" collapsed="false">
      <c r="A12" s="6" t="n">
        <v>8</v>
      </c>
      <c r="B12" s="14" t="s">
        <v>1331</v>
      </c>
      <c r="C12" s="43" t="n">
        <f aca="false">MAX(Scorecard!AE6:AG30)</f>
        <v>1</v>
      </c>
      <c r="D12" s="26" t="str">
        <f aca="false">IF(AND(MAX(Scorecard!AE6:AG30)&lt;=1,MIN(Scorecard!AE6:AG30)&gt;=0),"PASS","FAIL")</f>
        <v>PASS</v>
      </c>
    </row>
    <row r="13" customFormat="false" ht="15" hidden="false" customHeight="false" outlineLevel="0" collapsed="false">
      <c r="A13" s="6" t="n">
        <v>9</v>
      </c>
      <c r="B13" s="14" t="s">
        <v>1332</v>
      </c>
      <c r="C13" s="53" t="n">
        <f aca="false">COUNTIFS(Network!B5:B14,"Tier-1 supply",Network!S5:S14,"A")</f>
        <v>10</v>
      </c>
      <c r="D13" s="26" t="str">
        <f aca="false">IF(C13=10,"PASS","FAIL")</f>
        <v>PASS</v>
      </c>
    </row>
    <row r="14" customFormat="false" ht="15" hidden="false" customHeight="false" outlineLevel="0" collapsed="false">
      <c r="A14" s="6" t="n">
        <v>10</v>
      </c>
      <c r="B14" s="14" t="s">
        <v>1333</v>
      </c>
      <c r="C14" s="53" t="n">
        <f aca="false">COUNTA(Evidence!A5:A63)</f>
        <v>59</v>
      </c>
      <c r="D14" s="26" t="str">
        <f aca="false">IF(C14=59,"PASS","FAIL")</f>
        <v>PASS</v>
      </c>
    </row>
    <row r="15" customFormat="false" ht="15" hidden="false" customHeight="false" outlineLevel="0" collapsed="false">
      <c r="A15" s="6" t="n">
        <v>11</v>
      </c>
      <c r="B15" s="14" t="s">
        <v>1334</v>
      </c>
      <c r="C15" s="53" t="n">
        <f aca="false">SUMPRODUCT(--ISERROR(Scorecard!A6:AZ30))</f>
        <v>0</v>
      </c>
      <c r="D15" s="26" t="str">
        <f aca="false">IF(C15=0,"PASS","FAIL")</f>
        <v>PASS</v>
      </c>
    </row>
    <row r="16" customFormat="false" ht="15" hidden="false" customHeight="false" outlineLevel="0" collapsed="false">
      <c r="A16" s="6" t="n">
        <v>12</v>
      </c>
      <c r="B16" s="14" t="s">
        <v>1335</v>
      </c>
      <c r="C16" s="53" t="n">
        <f aca="false">SUMPRODUCT(--ISERROR(Network!A5:Y45))+SUMPRODUCT(--ISERROR(Concentration!A5:L22))</f>
        <v>0</v>
      </c>
      <c r="D16" s="26" t="str">
        <f aca="false">IF(C16=0,"PASS","FAIL")</f>
        <v>PASS</v>
      </c>
    </row>
    <row r="17" customFormat="false" ht="15" hidden="false" customHeight="false" outlineLevel="0" collapsed="false">
      <c r="A17" s="6" t="n">
        <v>13</v>
      </c>
      <c r="B17" s="14" t="s">
        <v>1336</v>
      </c>
      <c r="C17" s="53" t="n">
        <f aca="false">SUMPRODUCT(--ISERROR(Alerts!A5:V12))+SUMPRODUCT(--ISERROR(Alternates!A5:T32))</f>
        <v>0</v>
      </c>
      <c r="D17" s="26" t="str">
        <f aca="false">IF(C17=0,"PASS","FAIL")</f>
        <v>PASS</v>
      </c>
    </row>
    <row r="18" customFormat="false" ht="15" hidden="false" customHeight="false" outlineLevel="0" collapsed="false">
      <c r="A18" s="6" t="n">
        <v>14</v>
      </c>
      <c r="B18" s="14" t="s">
        <v>1337</v>
      </c>
      <c r="C18" s="53" t="n">
        <f aca="false">SUMPRODUCT((COUNTIF(Sensitivity!P13:P37,Sensitivity!P13:P37)=1)*1)+SUMPRODUCT((COUNTIF(Sensitivity!T13:T37,Sensitivity!T13:T37)=1)*1)</f>
        <v>50</v>
      </c>
      <c r="D18" s="26" t="str">
        <f aca="false">IF(C18=50,"PASS","FAIL")</f>
        <v>PASS</v>
      </c>
    </row>
    <row r="19" customFormat="false" ht="15" hidden="false" customHeight="false" outlineLevel="0" collapsed="false">
      <c r="A19" s="6" t="n">
        <v>15</v>
      </c>
      <c r="B19" s="14" t="s">
        <v>1338</v>
      </c>
      <c r="C19" s="7" t="str">
        <f aca="false">Alerts!Q6</f>
        <v>MERGED into EV-001</v>
      </c>
      <c r="D19" s="26" t="str">
        <f aca="false">IF(LEFT(C19,6)="MERGED","PASS","FAIL")</f>
        <v>PASS</v>
      </c>
    </row>
    <row r="21" customFormat="false" ht="15" hidden="false" customHeight="false" outlineLevel="0" collapsed="false">
      <c r="B21" s="41" t="s">
        <v>1339</v>
      </c>
      <c r="D21" s="69" t="str">
        <f aca="false">IF(COUNTIF(D5:D19,"PASS")=15,"ALL PASS",COUNTIF(D5:D19,"FAIL")&amp;" FAIL")</f>
        <v>ALL PASS</v>
      </c>
    </row>
    <row r="23" customFormat="false" ht="15" hidden="false" customHeight="false" outlineLevel="0" collapsed="false">
      <c r="B23" s="48" t="s">
        <v>1340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10" min="7" style="0" width="12"/>
    <col collapsed="false" customWidth="true" hidden="false" outlineLevel="0" max="11" min="11" style="0" width="22"/>
    <col collapsed="false" customWidth="true" hidden="false" outlineLevel="0" max="12" min="12" style="0" width="40"/>
  </cols>
  <sheetData>
    <row r="1" customFormat="false" ht="17.35" hidden="false" customHeight="false" outlineLevel="0" collapsed="false">
      <c r="A1" s="1" t="s">
        <v>1341</v>
      </c>
    </row>
    <row r="2" customFormat="false" ht="15" hidden="false" customHeight="false" outlineLevel="0" collapsed="false">
      <c r="A2" s="12" t="s">
        <v>1342</v>
      </c>
    </row>
    <row r="4" customFormat="false" ht="35.05" hidden="false" customHeight="false" outlineLevel="0" collapsed="false">
      <c r="A4" s="5" t="s">
        <v>1343</v>
      </c>
      <c r="B4" s="5" t="s">
        <v>1344</v>
      </c>
      <c r="C4" s="5" t="s">
        <v>1345</v>
      </c>
      <c r="D4" s="5" t="s">
        <v>1346</v>
      </c>
      <c r="E4" s="5" t="s">
        <v>1347</v>
      </c>
      <c r="F4" s="5" t="s">
        <v>1348</v>
      </c>
      <c r="G4" s="5" t="s">
        <v>1349</v>
      </c>
      <c r="H4" s="5" t="s">
        <v>1350</v>
      </c>
      <c r="I4" s="5" t="s">
        <v>1351</v>
      </c>
      <c r="J4" s="5" t="s">
        <v>1352</v>
      </c>
    </row>
    <row r="5" customFormat="false" ht="15" hidden="false" customHeight="false" outlineLevel="0" collapsed="false">
      <c r="A5" s="16" t="s">
        <v>88</v>
      </c>
      <c r="B5" s="16" t="s">
        <v>203</v>
      </c>
      <c r="C5" s="16" t="n">
        <v>2.13</v>
      </c>
      <c r="D5" s="16" t="n">
        <v>2</v>
      </c>
      <c r="E5" s="16" t="n">
        <v>80.9</v>
      </c>
      <c r="F5" s="16" t="n">
        <v>2.3</v>
      </c>
      <c r="G5" s="16" t="n">
        <v>24</v>
      </c>
      <c r="H5" s="16" t="n">
        <v>27</v>
      </c>
      <c r="I5" s="16" t="n">
        <v>30</v>
      </c>
      <c r="J5" s="16" t="n">
        <v>24</v>
      </c>
    </row>
    <row r="6" customFormat="false" ht="15" hidden="false" customHeight="false" outlineLevel="0" collapsed="false">
      <c r="A6" s="16" t="s">
        <v>92</v>
      </c>
      <c r="B6" s="16" t="s">
        <v>218</v>
      </c>
      <c r="C6" s="16" t="n">
        <v>1.54</v>
      </c>
      <c r="D6" s="16" t="n">
        <v>3</v>
      </c>
      <c r="E6" s="16" t="n">
        <v>83.1</v>
      </c>
      <c r="F6" s="16" t="n">
        <v>2.2</v>
      </c>
      <c r="G6" s="16" t="n">
        <v>33</v>
      </c>
      <c r="H6" s="16" t="n">
        <v>31</v>
      </c>
      <c r="I6" s="16" t="n">
        <v>23</v>
      </c>
      <c r="J6" s="16" t="n">
        <v>19</v>
      </c>
    </row>
    <row r="7" customFormat="false" ht="15" hidden="false" customHeight="false" outlineLevel="0" collapsed="false">
      <c r="A7" s="16" t="s">
        <v>95</v>
      </c>
      <c r="B7" s="16" t="s">
        <v>225</v>
      </c>
      <c r="C7" s="16" t="n">
        <v>2.34</v>
      </c>
      <c r="D7" s="16" t="n">
        <v>4</v>
      </c>
      <c r="E7" s="16" t="n">
        <v>83.3</v>
      </c>
      <c r="F7" s="16" t="n">
        <v>-2.3</v>
      </c>
      <c r="G7" s="16" t="n">
        <v>42</v>
      </c>
      <c r="H7" s="16" t="n">
        <v>58</v>
      </c>
      <c r="I7" s="16" t="n">
        <v>62</v>
      </c>
      <c r="J7" s="16" t="n">
        <v>52</v>
      </c>
    </row>
    <row r="8" customFormat="false" ht="15" hidden="false" customHeight="false" outlineLevel="0" collapsed="false">
      <c r="A8" s="16" t="s">
        <v>115</v>
      </c>
      <c r="B8" s="16" t="s">
        <v>391</v>
      </c>
      <c r="C8" s="16" t="n">
        <v>2.04</v>
      </c>
      <c r="D8" s="16" t="n">
        <v>1</v>
      </c>
      <c r="E8" s="16" t="n">
        <v>87.6</v>
      </c>
      <c r="F8" s="16" t="n">
        <v>-1.1</v>
      </c>
      <c r="G8" s="16" t="n">
        <v>45</v>
      </c>
      <c r="H8" s="16" t="n">
        <v>31</v>
      </c>
      <c r="I8" s="16" t="n">
        <v>23</v>
      </c>
      <c r="J8" s="16" t="n">
        <v>19</v>
      </c>
    </row>
    <row r="9" customFormat="false" ht="15" hidden="false" customHeight="false" outlineLevel="0" collapsed="false">
      <c r="A9" s="16" t="s">
        <v>99</v>
      </c>
      <c r="B9" s="16" t="s">
        <v>233</v>
      </c>
      <c r="C9" s="16" t="n">
        <v>1.82</v>
      </c>
      <c r="D9" s="16" t="n">
        <v>1.67</v>
      </c>
      <c r="E9" s="16" t="n">
        <v>86.9</v>
      </c>
      <c r="F9" s="16" t="n">
        <v>2.2</v>
      </c>
      <c r="G9" s="16" t="n">
        <v>51</v>
      </c>
      <c r="H9" s="16" t="n">
        <v>19</v>
      </c>
      <c r="I9" s="16" t="n">
        <v>26</v>
      </c>
      <c r="J9" s="16" t="n">
        <v>25</v>
      </c>
    </row>
    <row r="10" customFormat="false" ht="15" hidden="false" customHeight="false" outlineLevel="0" collapsed="false">
      <c r="A10" s="16" t="s">
        <v>423</v>
      </c>
      <c r="B10" s="16" t="s">
        <v>424</v>
      </c>
      <c r="C10" s="16"/>
      <c r="D10" s="16"/>
      <c r="E10" s="16" t="n">
        <v>83.7</v>
      </c>
      <c r="F10" s="16" t="n">
        <v>2.2</v>
      </c>
      <c r="G10" s="16"/>
      <c r="H10" s="16" t="n">
        <v>27</v>
      </c>
      <c r="I10" s="16" t="n">
        <v>30</v>
      </c>
      <c r="J10" s="16" t="n">
        <v>24</v>
      </c>
    </row>
    <row r="11" customFormat="false" ht="15" hidden="false" customHeight="false" outlineLevel="0" collapsed="false">
      <c r="A11" s="16" t="s">
        <v>102</v>
      </c>
      <c r="B11" s="16" t="s">
        <v>240</v>
      </c>
      <c r="C11" s="16" t="n">
        <v>2.53</v>
      </c>
      <c r="D11" s="16" t="n">
        <v>2.67</v>
      </c>
      <c r="E11" s="16" t="n">
        <v>89.7</v>
      </c>
      <c r="F11" s="16" t="n">
        <v>1.8</v>
      </c>
      <c r="G11" s="16" t="n">
        <v>60</v>
      </c>
      <c r="H11" s="16" t="n">
        <v>67</v>
      </c>
      <c r="I11" s="16" t="n">
        <v>59</v>
      </c>
      <c r="J11" s="16" t="n">
        <v>54</v>
      </c>
    </row>
    <row r="12" customFormat="false" ht="15" hidden="false" customHeight="false" outlineLevel="0" collapsed="false">
      <c r="A12" s="16" t="s">
        <v>105</v>
      </c>
      <c r="B12" s="16" t="s">
        <v>247</v>
      </c>
      <c r="C12" s="16" t="n">
        <v>1.94</v>
      </c>
      <c r="D12" s="16" t="n">
        <v>3.67</v>
      </c>
      <c r="E12" s="16" t="n">
        <v>89.8</v>
      </c>
      <c r="F12" s="16" t="n">
        <v>-0.3</v>
      </c>
      <c r="G12" s="16" t="n">
        <v>69</v>
      </c>
      <c r="H12" s="16" t="n">
        <v>27</v>
      </c>
      <c r="I12" s="16" t="n">
        <v>30</v>
      </c>
      <c r="J12" s="16" t="n">
        <v>24</v>
      </c>
    </row>
    <row r="13" customFormat="false" ht="15" hidden="false" customHeight="false" outlineLevel="0" collapsed="false">
      <c r="A13" s="16" t="s">
        <v>108</v>
      </c>
      <c r="B13" s="16" t="s">
        <v>252</v>
      </c>
      <c r="C13" s="16" t="n">
        <v>1.51</v>
      </c>
      <c r="D13" s="16" t="n">
        <v>1.33</v>
      </c>
      <c r="E13" s="16" t="n">
        <v>78.8</v>
      </c>
      <c r="F13" s="16" t="n">
        <v>-0.9</v>
      </c>
      <c r="G13" s="16" t="n">
        <v>18</v>
      </c>
      <c r="H13" s="16" t="n">
        <v>58</v>
      </c>
      <c r="I13" s="16" t="n">
        <v>62</v>
      </c>
      <c r="J13" s="16" t="n">
        <v>52</v>
      </c>
    </row>
    <row r="14" customFormat="false" ht="15" hidden="false" customHeight="false" outlineLevel="0" collapsed="false">
      <c r="A14" s="16" t="s">
        <v>411</v>
      </c>
      <c r="B14" s="16" t="s">
        <v>412</v>
      </c>
      <c r="C14" s="16" t="n">
        <v>1.68</v>
      </c>
      <c r="D14" s="16" t="n">
        <v>4</v>
      </c>
      <c r="E14" s="16" t="n">
        <v>80.6</v>
      </c>
      <c r="F14" s="16" t="n">
        <v>1.4</v>
      </c>
      <c r="G14" s="16" t="n">
        <v>72</v>
      </c>
      <c r="H14" s="16" t="n">
        <v>34</v>
      </c>
      <c r="I14" s="16" t="n">
        <v>36</v>
      </c>
      <c r="J14" s="16" t="n">
        <v>30</v>
      </c>
    </row>
    <row r="15" customFormat="false" ht="15" hidden="false" customHeight="false" outlineLevel="0" collapsed="false">
      <c r="A15" s="16" t="s">
        <v>112</v>
      </c>
      <c r="B15" s="16" t="s">
        <v>257</v>
      </c>
      <c r="C15" s="16" t="n">
        <v>2.24</v>
      </c>
      <c r="D15" s="16" t="n">
        <v>2.33</v>
      </c>
      <c r="E15" s="16" t="n">
        <v>81.9</v>
      </c>
      <c r="F15" s="16" t="n">
        <v>-0.9</v>
      </c>
      <c r="G15" s="16" t="n">
        <v>27</v>
      </c>
      <c r="H15" s="16" t="n">
        <v>31</v>
      </c>
      <c r="I15" s="16" t="n">
        <v>23</v>
      </c>
      <c r="J15" s="16" t="n">
        <v>19</v>
      </c>
    </row>
    <row r="16" customFormat="false" ht="15" hidden="false" customHeight="false" outlineLevel="0" collapsed="false">
      <c r="A16" s="16" t="s">
        <v>430</v>
      </c>
      <c r="B16" s="16" t="s">
        <v>431</v>
      </c>
      <c r="C16" s="16"/>
      <c r="D16" s="16"/>
      <c r="E16" s="16" t="n">
        <v>82.7</v>
      </c>
      <c r="F16" s="16" t="n">
        <v>2.8</v>
      </c>
      <c r="G16" s="16"/>
      <c r="H16" s="16" t="n">
        <v>34</v>
      </c>
      <c r="I16" s="16" t="n">
        <v>36</v>
      </c>
      <c r="J16" s="16" t="n">
        <v>30</v>
      </c>
    </row>
    <row r="17" customFormat="false" ht="15" hidden="false" customHeight="false" outlineLevel="0" collapsed="false">
      <c r="A17" s="16" t="s">
        <v>121</v>
      </c>
      <c r="B17" s="16" t="s">
        <v>262</v>
      </c>
      <c r="C17" s="16" t="n">
        <v>1.8</v>
      </c>
      <c r="D17" s="16" t="n">
        <v>2.4</v>
      </c>
      <c r="E17" s="16" t="n">
        <v>85.2</v>
      </c>
      <c r="F17" s="16" t="n">
        <v>-8.8</v>
      </c>
      <c r="G17" s="16" t="n">
        <v>36</v>
      </c>
      <c r="H17" s="16" t="n">
        <v>82</v>
      </c>
      <c r="I17" s="16" t="n">
        <v>76</v>
      </c>
      <c r="J17" s="16" t="n">
        <v>71</v>
      </c>
    </row>
    <row r="18" customFormat="false" ht="15" hidden="false" customHeight="false" outlineLevel="0" collapsed="false">
      <c r="A18" s="16" t="s">
        <v>401</v>
      </c>
      <c r="B18" s="16" t="s">
        <v>402</v>
      </c>
      <c r="C18" s="16" t="n">
        <v>2.46</v>
      </c>
      <c r="D18" s="16" t="n">
        <v>3.33</v>
      </c>
      <c r="E18" s="16" t="n">
        <v>85.4</v>
      </c>
      <c r="F18" s="16" t="n">
        <v>-0.6</v>
      </c>
      <c r="G18" s="16" t="n">
        <v>36</v>
      </c>
      <c r="H18" s="16" t="n">
        <v>34</v>
      </c>
      <c r="I18" s="16" t="n">
        <v>36</v>
      </c>
      <c r="J18" s="16" t="n">
        <v>30</v>
      </c>
    </row>
    <row r="19" customFormat="false" ht="15" hidden="false" customHeight="false" outlineLevel="0" collapsed="false">
      <c r="A19" s="16" t="s">
        <v>125</v>
      </c>
      <c r="B19" s="16" t="s">
        <v>289</v>
      </c>
      <c r="C19" s="16" t="n">
        <v>1.55</v>
      </c>
      <c r="D19" s="16" t="n">
        <v>3.1</v>
      </c>
      <c r="E19" s="16" t="n">
        <v>86.6</v>
      </c>
      <c r="F19" s="16" t="n">
        <v>-6.4</v>
      </c>
      <c r="G19" s="16" t="n">
        <v>45</v>
      </c>
      <c r="H19" s="16" t="n">
        <v>82</v>
      </c>
      <c r="I19" s="16" t="n">
        <v>76</v>
      </c>
      <c r="J19" s="16" t="n">
        <v>71</v>
      </c>
    </row>
    <row r="20" customFormat="false" ht="15" hidden="false" customHeight="false" outlineLevel="0" collapsed="false">
      <c r="A20" s="16" t="s">
        <v>129</v>
      </c>
      <c r="B20" s="16" t="s">
        <v>301</v>
      </c>
      <c r="C20" s="16" t="n">
        <v>1.86</v>
      </c>
      <c r="D20" s="16" t="n">
        <v>2</v>
      </c>
      <c r="E20" s="16" t="n">
        <v>87.3</v>
      </c>
      <c r="F20" s="16" t="n">
        <v>1.6</v>
      </c>
      <c r="G20" s="16" t="n">
        <v>54</v>
      </c>
      <c r="H20" s="16" t="n">
        <v>31</v>
      </c>
      <c r="I20" s="16" t="n">
        <v>23</v>
      </c>
      <c r="J20" s="16" t="n">
        <v>19</v>
      </c>
    </row>
    <row r="21" customFormat="false" ht="15" hidden="false" customHeight="false" outlineLevel="0" collapsed="false">
      <c r="A21" s="16" t="s">
        <v>133</v>
      </c>
      <c r="B21" s="16" t="s">
        <v>272</v>
      </c>
      <c r="C21" s="16" t="n">
        <v>1.37</v>
      </c>
      <c r="D21" s="16" t="n">
        <v>3</v>
      </c>
      <c r="E21" s="16" t="n">
        <v>89.5</v>
      </c>
      <c r="F21" s="16" t="n">
        <v>-0.6</v>
      </c>
      <c r="G21" s="16" t="n">
        <v>63</v>
      </c>
      <c r="H21" s="16" t="n">
        <v>58</v>
      </c>
      <c r="I21" s="16" t="n">
        <v>62</v>
      </c>
      <c r="J21" s="16" t="n">
        <v>52</v>
      </c>
    </row>
    <row r="22" customFormat="false" ht="15" hidden="false" customHeight="false" outlineLevel="0" collapsed="false">
      <c r="A22" s="16" t="s">
        <v>142</v>
      </c>
      <c r="B22" s="16" t="s">
        <v>316</v>
      </c>
      <c r="C22" s="16" t="n">
        <v>0.62</v>
      </c>
      <c r="D22" s="16" t="n">
        <v>7.2</v>
      </c>
      <c r="E22" s="16" t="n">
        <v>76.4</v>
      </c>
      <c r="F22" s="16" t="n">
        <v>-17.6</v>
      </c>
      <c r="G22" s="16" t="n">
        <v>72</v>
      </c>
      <c r="H22" s="16" t="n">
        <v>19</v>
      </c>
      <c r="I22" s="16" t="n">
        <v>26</v>
      </c>
      <c r="J22" s="16" t="n">
        <v>25</v>
      </c>
    </row>
    <row r="23" customFormat="false" ht="15" hidden="false" customHeight="false" outlineLevel="0" collapsed="false">
      <c r="A23" s="16" t="s">
        <v>145</v>
      </c>
      <c r="B23" s="16" t="s">
        <v>322</v>
      </c>
      <c r="C23" s="16" t="n">
        <v>1.54</v>
      </c>
      <c r="D23" s="16" t="n">
        <v>1.67</v>
      </c>
      <c r="E23" s="16" t="n">
        <v>79.3</v>
      </c>
      <c r="F23" s="16" t="n">
        <v>-3.5</v>
      </c>
      <c r="G23" s="16" t="n">
        <v>21</v>
      </c>
      <c r="H23" s="16" t="n">
        <v>67</v>
      </c>
      <c r="I23" s="16" t="n">
        <v>59</v>
      </c>
      <c r="J23" s="16" t="n">
        <v>54</v>
      </c>
    </row>
    <row r="24" customFormat="false" ht="15" hidden="false" customHeight="false" outlineLevel="0" collapsed="false">
      <c r="A24" s="16" t="s">
        <v>136</v>
      </c>
      <c r="B24" s="16" t="s">
        <v>281</v>
      </c>
      <c r="C24" s="16" t="n">
        <v>2.29</v>
      </c>
      <c r="D24" s="16" t="n">
        <v>2.67</v>
      </c>
      <c r="E24" s="16" t="n">
        <v>82.2</v>
      </c>
      <c r="F24" s="16" t="n">
        <v>0.7</v>
      </c>
      <c r="G24" s="16" t="n">
        <v>30</v>
      </c>
      <c r="H24" s="16" t="n">
        <v>82</v>
      </c>
      <c r="I24" s="16" t="n">
        <v>76</v>
      </c>
      <c r="J24" s="16" t="n">
        <v>71</v>
      </c>
    </row>
    <row r="25" customFormat="false" ht="15" hidden="false" customHeight="false" outlineLevel="0" collapsed="false">
      <c r="A25" s="16" t="s">
        <v>148</v>
      </c>
      <c r="B25" s="16" t="s">
        <v>327</v>
      </c>
      <c r="C25" s="16" t="n">
        <v>1.79</v>
      </c>
      <c r="D25" s="16" t="n">
        <v>3.67</v>
      </c>
      <c r="E25" s="16" t="n">
        <v>85.6</v>
      </c>
      <c r="F25" s="16" t="n">
        <v>0.8</v>
      </c>
      <c r="G25" s="16" t="n">
        <v>39</v>
      </c>
      <c r="H25" s="16" t="n">
        <v>67</v>
      </c>
      <c r="I25" s="16" t="n">
        <v>59</v>
      </c>
      <c r="J25" s="16" t="n">
        <v>54</v>
      </c>
    </row>
    <row r="26" customFormat="false" ht="15" hidden="false" customHeight="false" outlineLevel="0" collapsed="false">
      <c r="A26" s="16" t="s">
        <v>151</v>
      </c>
      <c r="B26" s="16" t="s">
        <v>332</v>
      </c>
      <c r="C26" s="16" t="n">
        <v>2.43</v>
      </c>
      <c r="D26" s="16" t="n">
        <v>1.33</v>
      </c>
      <c r="E26" s="16" t="n">
        <v>84.6</v>
      </c>
      <c r="F26" s="16" t="n">
        <v>-2.1</v>
      </c>
      <c r="G26" s="16" t="n">
        <v>48</v>
      </c>
      <c r="H26" s="16" t="n">
        <v>27</v>
      </c>
      <c r="I26" s="16" t="n">
        <v>30</v>
      </c>
      <c r="J26" s="16" t="n">
        <v>24</v>
      </c>
    </row>
    <row r="27" customFormat="false" ht="15" hidden="false" customHeight="false" outlineLevel="0" collapsed="false">
      <c r="A27" s="16" t="s">
        <v>139</v>
      </c>
      <c r="B27" s="16" t="s">
        <v>311</v>
      </c>
      <c r="C27" s="16" t="n">
        <v>2.04</v>
      </c>
      <c r="D27" s="16" t="n">
        <v>2.33</v>
      </c>
      <c r="E27" s="16" t="n">
        <v>89.3</v>
      </c>
      <c r="F27" s="16" t="n">
        <v>0.3</v>
      </c>
      <c r="G27" s="16" t="n">
        <v>57</v>
      </c>
      <c r="H27" s="16" t="n">
        <v>58</v>
      </c>
      <c r="I27" s="16" t="n">
        <v>62</v>
      </c>
      <c r="J27" s="16" t="n">
        <v>52</v>
      </c>
    </row>
    <row r="28" customFormat="false" ht="15" hidden="false" customHeight="false" outlineLevel="0" collapsed="false">
      <c r="A28" s="16" t="s">
        <v>376</v>
      </c>
      <c r="B28" s="16" t="s">
        <v>377</v>
      </c>
      <c r="C28" s="16"/>
      <c r="D28" s="16"/>
      <c r="E28" s="16" t="n">
        <v>91.7</v>
      </c>
      <c r="F28" s="16" t="n">
        <v>-0.3</v>
      </c>
      <c r="G28" s="16"/>
      <c r="H28" s="16" t="n">
        <v>39</v>
      </c>
      <c r="I28" s="16" t="n">
        <v>47</v>
      </c>
      <c r="J28" s="16" t="n">
        <v>41</v>
      </c>
    </row>
    <row r="29" customFormat="false" ht="15" hidden="false" customHeight="false" outlineLevel="0" collapsed="false">
      <c r="A29" s="16" t="s">
        <v>154</v>
      </c>
      <c r="B29" s="16" t="s">
        <v>338</v>
      </c>
      <c r="C29" s="16"/>
      <c r="D29" s="16"/>
      <c r="E29" s="16" t="n">
        <v>80.5</v>
      </c>
      <c r="F29" s="16" t="n">
        <v>-2.2</v>
      </c>
      <c r="G29" s="16"/>
      <c r="H29" s="16" t="n">
        <v>82</v>
      </c>
      <c r="I29" s="16" t="n">
        <v>76</v>
      </c>
      <c r="J29" s="16" t="n">
        <v>71</v>
      </c>
    </row>
    <row r="30" customFormat="false" ht="15" hidden="false" customHeight="false" outlineLevel="0" collapsed="false">
      <c r="A30" s="16" t="s">
        <v>157</v>
      </c>
      <c r="B30" s="16" t="s">
        <v>344</v>
      </c>
      <c r="C30" s="16"/>
      <c r="D30" s="16"/>
      <c r="E30" s="16" t="n">
        <v>81.9</v>
      </c>
      <c r="F30" s="16" t="n">
        <v>-0.9</v>
      </c>
      <c r="G30" s="16"/>
      <c r="H30" s="16" t="n">
        <v>82</v>
      </c>
      <c r="I30" s="16" t="n">
        <v>76</v>
      </c>
      <c r="J30" s="16" t="n">
        <v>71</v>
      </c>
    </row>
    <row r="31" customFormat="false" ht="15" hidden="false" customHeight="false" outlineLevel="0" collapsed="false">
      <c r="A31" s="16" t="s">
        <v>164</v>
      </c>
      <c r="B31" s="16" t="s">
        <v>358</v>
      </c>
      <c r="C31" s="16"/>
      <c r="D31" s="16"/>
      <c r="E31" s="16" t="n">
        <v>87.4</v>
      </c>
      <c r="F31" s="16" t="n">
        <v>1.8</v>
      </c>
      <c r="G31" s="16"/>
      <c r="H31" s="16" t="n">
        <v>67</v>
      </c>
      <c r="I31" s="16" t="n">
        <v>59</v>
      </c>
      <c r="J31" s="16" t="n">
        <v>54</v>
      </c>
    </row>
    <row r="32" customFormat="false" ht="15" hidden="false" customHeight="false" outlineLevel="0" collapsed="false">
      <c r="A32" s="16" t="s">
        <v>166</v>
      </c>
      <c r="B32" s="16" t="s">
        <v>363</v>
      </c>
      <c r="C32" s="16"/>
      <c r="D32" s="16"/>
      <c r="E32" s="16" t="n">
        <v>87.3</v>
      </c>
      <c r="F32" s="16" t="n">
        <v>1.8</v>
      </c>
      <c r="G32" s="16"/>
      <c r="H32" s="16" t="n">
        <v>58</v>
      </c>
      <c r="I32" s="16" t="n">
        <v>62</v>
      </c>
      <c r="J32" s="16" t="n">
        <v>52</v>
      </c>
    </row>
    <row r="33" customFormat="false" ht="15" hidden="false" customHeight="false" outlineLevel="0" collapsed="false">
      <c r="A33" s="16" t="s">
        <v>161</v>
      </c>
      <c r="B33" s="16" t="s">
        <v>352</v>
      </c>
      <c r="C33" s="16"/>
      <c r="D33" s="16"/>
      <c r="E33" s="16" t="n">
        <v>90.1</v>
      </c>
      <c r="F33" s="16" t="n">
        <v>-1.2</v>
      </c>
      <c r="G33" s="16"/>
      <c r="H33" s="16" t="n">
        <v>39</v>
      </c>
      <c r="I33" s="16" t="n">
        <v>47</v>
      </c>
      <c r="J33" s="16" t="n">
        <v>41</v>
      </c>
    </row>
    <row r="34" customFormat="false" ht="15" hidden="false" customHeight="false" outlineLevel="0" collapsed="false">
      <c r="A34" s="16" t="s">
        <v>168</v>
      </c>
      <c r="B34" s="16" t="s">
        <v>368</v>
      </c>
      <c r="C34" s="16"/>
      <c r="D34" s="16"/>
      <c r="E34" s="16" t="n">
        <v>90.9</v>
      </c>
      <c r="F34" s="16" t="n">
        <v>-0.9</v>
      </c>
      <c r="G34" s="16"/>
      <c r="H34" s="16" t="n">
        <v>19</v>
      </c>
      <c r="I34" s="16" t="n">
        <v>26</v>
      </c>
      <c r="J34" s="16" t="n">
        <v>25</v>
      </c>
    </row>
    <row r="36" customFormat="false" ht="15" hidden="false" customHeight="false" outlineLevel="0" collapsed="false">
      <c r="A36" s="70" t="s">
        <v>1353</v>
      </c>
    </row>
    <row r="37" customFormat="false" ht="35.05" hidden="false" customHeight="false" outlineLevel="0" collapsed="false">
      <c r="A37" s="5" t="s">
        <v>1343</v>
      </c>
      <c r="B37" s="5" t="s">
        <v>1344</v>
      </c>
      <c r="C37" s="5" t="s">
        <v>1354</v>
      </c>
      <c r="D37" s="5" t="s">
        <v>1355</v>
      </c>
      <c r="E37" s="5" t="s">
        <v>1356</v>
      </c>
      <c r="F37" s="5" t="s">
        <v>1357</v>
      </c>
      <c r="G37" s="5" t="s">
        <v>1358</v>
      </c>
      <c r="H37" s="5" t="s">
        <v>1359</v>
      </c>
      <c r="I37" s="5" t="s">
        <v>1360</v>
      </c>
      <c r="J37" s="5" t="s">
        <v>1361</v>
      </c>
      <c r="K37" s="5" t="s">
        <v>1362</v>
      </c>
      <c r="L37" s="5" t="s">
        <v>1363</v>
      </c>
    </row>
    <row r="38" customFormat="false" ht="15" hidden="false" customHeight="false" outlineLevel="0" collapsed="false">
      <c r="A38" s="16" t="s">
        <v>88</v>
      </c>
      <c r="B38" s="16" t="s">
        <v>203</v>
      </c>
      <c r="C38" s="16" t="s">
        <v>1364</v>
      </c>
      <c r="D38" s="16" t="s">
        <v>1365</v>
      </c>
      <c r="E38" s="16" t="s">
        <v>1366</v>
      </c>
      <c r="F38" s="16" t="s">
        <v>209</v>
      </c>
      <c r="G38" s="16" t="s">
        <v>208</v>
      </c>
      <c r="H38" s="16" t="s">
        <v>1367</v>
      </c>
      <c r="I38" s="16" t="s">
        <v>209</v>
      </c>
      <c r="J38" s="16" t="s">
        <v>1368</v>
      </c>
      <c r="K38" s="16" t="s">
        <v>1365</v>
      </c>
      <c r="L38" s="16"/>
    </row>
    <row r="39" customFormat="false" ht="15" hidden="false" customHeight="false" outlineLevel="0" collapsed="false">
      <c r="A39" s="16" t="s">
        <v>92</v>
      </c>
      <c r="B39" s="16" t="s">
        <v>218</v>
      </c>
      <c r="C39" s="16" t="s">
        <v>1364</v>
      </c>
      <c r="D39" s="16" t="s">
        <v>1365</v>
      </c>
      <c r="E39" s="16" t="s">
        <v>1369</v>
      </c>
      <c r="F39" s="16" t="s">
        <v>220</v>
      </c>
      <c r="G39" s="16" t="s">
        <v>219</v>
      </c>
      <c r="H39" s="16" t="s">
        <v>1370</v>
      </c>
      <c r="I39" s="16" t="s">
        <v>220</v>
      </c>
      <c r="J39" s="16" t="s">
        <v>1368</v>
      </c>
      <c r="K39" s="16" t="s">
        <v>1365</v>
      </c>
      <c r="L39" s="16"/>
    </row>
    <row r="40" customFormat="false" ht="15" hidden="false" customHeight="false" outlineLevel="0" collapsed="false">
      <c r="A40" s="16" t="s">
        <v>95</v>
      </c>
      <c r="B40" s="16" t="s">
        <v>225</v>
      </c>
      <c r="C40" s="16" t="s">
        <v>1364</v>
      </c>
      <c r="D40" s="16" t="s">
        <v>1371</v>
      </c>
      <c r="E40" s="16" t="s">
        <v>1372</v>
      </c>
      <c r="F40" s="16" t="s">
        <v>229</v>
      </c>
      <c r="G40" s="16" t="s">
        <v>228</v>
      </c>
      <c r="H40" s="16" t="s">
        <v>1373</v>
      </c>
      <c r="I40" s="16" t="s">
        <v>229</v>
      </c>
      <c r="J40" s="16" t="s">
        <v>1368</v>
      </c>
      <c r="K40" s="16" t="s">
        <v>1371</v>
      </c>
      <c r="L40" s="16"/>
    </row>
    <row r="41" customFormat="false" ht="15" hidden="false" customHeight="false" outlineLevel="0" collapsed="false">
      <c r="A41" s="16" t="s">
        <v>115</v>
      </c>
      <c r="B41" s="16" t="s">
        <v>391</v>
      </c>
      <c r="C41" s="16" t="s">
        <v>1374</v>
      </c>
      <c r="D41" s="16" t="s">
        <v>1374</v>
      </c>
      <c r="E41" s="16" t="s">
        <v>1369</v>
      </c>
      <c r="F41" s="16" t="s">
        <v>220</v>
      </c>
      <c r="G41" s="16" t="s">
        <v>394</v>
      </c>
      <c r="H41" s="16" t="s">
        <v>1375</v>
      </c>
      <c r="I41" s="16" t="s">
        <v>220</v>
      </c>
      <c r="J41" s="16" t="s">
        <v>1376</v>
      </c>
      <c r="K41" s="16" t="s">
        <v>1374</v>
      </c>
      <c r="L41" s="16"/>
    </row>
    <row r="42" customFormat="false" ht="15" hidden="false" customHeight="false" outlineLevel="0" collapsed="false">
      <c r="A42" s="16" t="s">
        <v>99</v>
      </c>
      <c r="B42" s="16" t="s">
        <v>233</v>
      </c>
      <c r="C42" s="16" t="s">
        <v>1364</v>
      </c>
      <c r="D42" s="16" t="s">
        <v>1377</v>
      </c>
      <c r="E42" s="16" t="s">
        <v>1369</v>
      </c>
      <c r="F42" s="16" t="s">
        <v>237</v>
      </c>
      <c r="G42" s="16" t="s">
        <v>236</v>
      </c>
      <c r="H42" s="16" t="s">
        <v>1378</v>
      </c>
      <c r="I42" s="16" t="s">
        <v>237</v>
      </c>
      <c r="J42" s="16" t="s">
        <v>1368</v>
      </c>
      <c r="K42" s="16" t="s">
        <v>1377</v>
      </c>
      <c r="L42" s="16"/>
    </row>
    <row r="43" customFormat="false" ht="15" hidden="false" customHeight="false" outlineLevel="0" collapsed="false">
      <c r="A43" s="16" t="s">
        <v>423</v>
      </c>
      <c r="B43" s="16" t="s">
        <v>424</v>
      </c>
      <c r="C43" s="16" t="s">
        <v>1364</v>
      </c>
      <c r="D43" s="16" t="s">
        <v>1379</v>
      </c>
      <c r="E43" s="16" t="s">
        <v>1366</v>
      </c>
      <c r="F43" s="16" t="s">
        <v>209</v>
      </c>
      <c r="G43" s="16" t="s">
        <v>426</v>
      </c>
      <c r="H43" s="16" t="s">
        <v>1378</v>
      </c>
      <c r="I43" s="16" t="s">
        <v>209</v>
      </c>
      <c r="J43" s="16" t="s">
        <v>1368</v>
      </c>
      <c r="K43" s="16" t="s">
        <v>1379</v>
      </c>
      <c r="L43" s="16"/>
    </row>
    <row r="44" customFormat="false" ht="15" hidden="false" customHeight="false" outlineLevel="0" collapsed="false">
      <c r="A44" s="16" t="s">
        <v>102</v>
      </c>
      <c r="B44" s="16" t="s">
        <v>240</v>
      </c>
      <c r="C44" s="16" t="s">
        <v>1364</v>
      </c>
      <c r="D44" s="16" t="s">
        <v>1380</v>
      </c>
      <c r="E44" s="16" t="s">
        <v>1381</v>
      </c>
      <c r="F44" s="16" t="s">
        <v>244</v>
      </c>
      <c r="G44" s="16" t="s">
        <v>243</v>
      </c>
      <c r="H44" s="16" t="s">
        <v>1382</v>
      </c>
      <c r="I44" s="16" t="s">
        <v>244</v>
      </c>
      <c r="J44" s="16" t="s">
        <v>1368</v>
      </c>
      <c r="K44" s="16" t="s">
        <v>1380</v>
      </c>
      <c r="L44" s="16"/>
    </row>
    <row r="45" customFormat="false" ht="15" hidden="false" customHeight="false" outlineLevel="0" collapsed="false">
      <c r="A45" s="16" t="s">
        <v>105</v>
      </c>
      <c r="B45" s="16" t="s">
        <v>247</v>
      </c>
      <c r="C45" s="16" t="s">
        <v>1364</v>
      </c>
      <c r="D45" s="16" t="s">
        <v>1383</v>
      </c>
      <c r="E45" s="16" t="s">
        <v>1366</v>
      </c>
      <c r="F45" s="16" t="s">
        <v>209</v>
      </c>
      <c r="G45" s="16" t="s">
        <v>249</v>
      </c>
      <c r="H45" s="16" t="s">
        <v>1384</v>
      </c>
      <c r="I45" s="16" t="s">
        <v>209</v>
      </c>
      <c r="J45" s="16" t="s">
        <v>1368</v>
      </c>
      <c r="K45" s="16" t="s">
        <v>1383</v>
      </c>
      <c r="L45" s="16"/>
    </row>
    <row r="46" customFormat="false" ht="15" hidden="false" customHeight="false" outlineLevel="0" collapsed="false">
      <c r="A46" s="16" t="s">
        <v>108</v>
      </c>
      <c r="B46" s="16" t="s">
        <v>252</v>
      </c>
      <c r="C46" s="16" t="s">
        <v>1364</v>
      </c>
      <c r="D46" s="16" t="s">
        <v>1385</v>
      </c>
      <c r="E46" s="16" t="s">
        <v>1372</v>
      </c>
      <c r="F46" s="16" t="s">
        <v>229</v>
      </c>
      <c r="G46" s="16" t="s">
        <v>254</v>
      </c>
      <c r="H46" s="16" t="s">
        <v>1386</v>
      </c>
      <c r="I46" s="16" t="s">
        <v>229</v>
      </c>
      <c r="J46" s="16" t="s">
        <v>1368</v>
      </c>
      <c r="K46" s="16" t="s">
        <v>1385</v>
      </c>
      <c r="L46" s="16"/>
    </row>
    <row r="47" customFormat="false" ht="15" hidden="false" customHeight="false" outlineLevel="0" collapsed="false">
      <c r="A47" s="16" t="s">
        <v>411</v>
      </c>
      <c r="B47" s="16" t="s">
        <v>412</v>
      </c>
      <c r="C47" s="16" t="s">
        <v>1387</v>
      </c>
      <c r="D47" s="16" t="s">
        <v>1388</v>
      </c>
      <c r="E47" s="16" t="s">
        <v>1366</v>
      </c>
      <c r="F47" s="16" t="s">
        <v>406</v>
      </c>
      <c r="G47" s="16" t="s">
        <v>414</v>
      </c>
      <c r="H47" s="16" t="s">
        <v>1389</v>
      </c>
      <c r="I47" s="16" t="s">
        <v>406</v>
      </c>
      <c r="J47" s="16" t="s">
        <v>1376</v>
      </c>
      <c r="K47" s="16" t="s">
        <v>1388</v>
      </c>
      <c r="L47" s="16"/>
    </row>
    <row r="48" customFormat="false" ht="15" hidden="false" customHeight="false" outlineLevel="0" collapsed="false">
      <c r="A48" s="16" t="s">
        <v>112</v>
      </c>
      <c r="B48" s="16" t="s">
        <v>257</v>
      </c>
      <c r="C48" s="16" t="s">
        <v>1364</v>
      </c>
      <c r="D48" s="16" t="s">
        <v>1385</v>
      </c>
      <c r="E48" s="16" t="s">
        <v>1369</v>
      </c>
      <c r="F48" s="16" t="s">
        <v>220</v>
      </c>
      <c r="G48" s="16" t="s">
        <v>258</v>
      </c>
      <c r="H48" s="16" t="s">
        <v>1390</v>
      </c>
      <c r="I48" s="16" t="s">
        <v>220</v>
      </c>
      <c r="J48" s="16" t="s">
        <v>1368</v>
      </c>
      <c r="K48" s="16" t="s">
        <v>1385</v>
      </c>
      <c r="L48" s="16"/>
    </row>
    <row r="49" customFormat="false" ht="15" hidden="false" customHeight="false" outlineLevel="0" collapsed="false">
      <c r="A49" s="16" t="s">
        <v>430</v>
      </c>
      <c r="B49" s="16" t="s">
        <v>431</v>
      </c>
      <c r="C49" s="16" t="s">
        <v>1387</v>
      </c>
      <c r="D49" s="16" t="s">
        <v>1391</v>
      </c>
      <c r="E49" s="16" t="s">
        <v>1366</v>
      </c>
      <c r="F49" s="16" t="s">
        <v>406</v>
      </c>
      <c r="G49" s="16" t="s">
        <v>433</v>
      </c>
      <c r="H49" s="16" t="s">
        <v>1392</v>
      </c>
      <c r="I49" s="16" t="s">
        <v>406</v>
      </c>
      <c r="J49" s="16" t="s">
        <v>1376</v>
      </c>
      <c r="K49" s="16" t="s">
        <v>1391</v>
      </c>
      <c r="L49" s="16"/>
    </row>
    <row r="50" customFormat="false" ht="15" hidden="false" customHeight="false" outlineLevel="0" collapsed="false">
      <c r="A50" s="16" t="s">
        <v>121</v>
      </c>
      <c r="B50" s="16" t="s">
        <v>262</v>
      </c>
      <c r="C50" s="16" t="s">
        <v>1364</v>
      </c>
      <c r="D50" s="16" t="s">
        <v>1393</v>
      </c>
      <c r="E50" s="16" t="s">
        <v>1372</v>
      </c>
      <c r="F50" s="16" t="s">
        <v>265</v>
      </c>
      <c r="G50" s="16" t="s">
        <v>264</v>
      </c>
      <c r="H50" s="16" t="s">
        <v>1394</v>
      </c>
      <c r="I50" s="16" t="s">
        <v>265</v>
      </c>
      <c r="J50" s="16" t="s">
        <v>1368</v>
      </c>
      <c r="K50" s="16" t="s">
        <v>1393</v>
      </c>
      <c r="L50" s="16" t="s">
        <v>1395</v>
      </c>
    </row>
    <row r="51" customFormat="false" ht="15" hidden="false" customHeight="false" outlineLevel="0" collapsed="false">
      <c r="A51" s="16" t="s">
        <v>401</v>
      </c>
      <c r="B51" s="16" t="s">
        <v>402</v>
      </c>
      <c r="C51" s="16" t="s">
        <v>1374</v>
      </c>
      <c r="D51" s="16" t="s">
        <v>1374</v>
      </c>
      <c r="E51" s="16" t="s">
        <v>1366</v>
      </c>
      <c r="F51" s="16" t="s">
        <v>406</v>
      </c>
      <c r="G51" s="16" t="s">
        <v>405</v>
      </c>
      <c r="H51" s="16" t="s">
        <v>1396</v>
      </c>
      <c r="I51" s="16" t="s">
        <v>406</v>
      </c>
      <c r="J51" s="16" t="s">
        <v>1376</v>
      </c>
      <c r="K51" s="16" t="s">
        <v>1374</v>
      </c>
      <c r="L51" s="16"/>
    </row>
    <row r="52" customFormat="false" ht="15" hidden="false" customHeight="false" outlineLevel="0" collapsed="false">
      <c r="A52" s="16" t="s">
        <v>125</v>
      </c>
      <c r="B52" s="16" t="s">
        <v>289</v>
      </c>
      <c r="C52" s="16" t="s">
        <v>1364</v>
      </c>
      <c r="D52" s="16" t="s">
        <v>1397</v>
      </c>
      <c r="E52" s="16" t="s">
        <v>1372</v>
      </c>
      <c r="F52" s="16" t="s">
        <v>265</v>
      </c>
      <c r="G52" s="16" t="s">
        <v>291</v>
      </c>
      <c r="H52" s="16" t="s">
        <v>1396</v>
      </c>
      <c r="I52" s="16" t="s">
        <v>265</v>
      </c>
      <c r="J52" s="16" t="s">
        <v>1368</v>
      </c>
      <c r="K52" s="16" t="s">
        <v>1397</v>
      </c>
      <c r="L52" s="16" t="s">
        <v>1398</v>
      </c>
    </row>
    <row r="53" customFormat="false" ht="15" hidden="false" customHeight="false" outlineLevel="0" collapsed="false">
      <c r="A53" s="16" t="s">
        <v>129</v>
      </c>
      <c r="B53" s="16" t="s">
        <v>301</v>
      </c>
      <c r="C53" s="16" t="s">
        <v>1364</v>
      </c>
      <c r="D53" s="16" t="s">
        <v>1399</v>
      </c>
      <c r="E53" s="16" t="s">
        <v>1369</v>
      </c>
      <c r="F53" s="16" t="s">
        <v>220</v>
      </c>
      <c r="G53" s="16" t="s">
        <v>303</v>
      </c>
      <c r="H53" s="16" t="s">
        <v>1400</v>
      </c>
      <c r="I53" s="16" t="s">
        <v>220</v>
      </c>
      <c r="J53" s="16" t="s">
        <v>1368</v>
      </c>
      <c r="K53" s="16" t="s">
        <v>1399</v>
      </c>
      <c r="L53" s="16"/>
    </row>
    <row r="54" customFormat="false" ht="15" hidden="false" customHeight="false" outlineLevel="0" collapsed="false">
      <c r="A54" s="16" t="s">
        <v>133</v>
      </c>
      <c r="B54" s="16" t="s">
        <v>272</v>
      </c>
      <c r="C54" s="16" t="s">
        <v>1364</v>
      </c>
      <c r="D54" s="16" t="s">
        <v>1401</v>
      </c>
      <c r="E54" s="16" t="s">
        <v>1372</v>
      </c>
      <c r="F54" s="16" t="s">
        <v>229</v>
      </c>
      <c r="G54" s="16" t="s">
        <v>274</v>
      </c>
      <c r="H54" s="16" t="s">
        <v>1402</v>
      </c>
      <c r="I54" s="16" t="s">
        <v>229</v>
      </c>
      <c r="J54" s="16" t="s">
        <v>1368</v>
      </c>
      <c r="K54" s="16" t="s">
        <v>1401</v>
      </c>
      <c r="L54" s="16"/>
    </row>
    <row r="55" customFormat="false" ht="15" hidden="false" customHeight="false" outlineLevel="0" collapsed="false">
      <c r="A55" s="16" t="s">
        <v>142</v>
      </c>
      <c r="B55" s="16" t="s">
        <v>316</v>
      </c>
      <c r="C55" s="16" t="s">
        <v>1364</v>
      </c>
      <c r="D55" s="16" t="s">
        <v>1403</v>
      </c>
      <c r="E55" s="16" t="s">
        <v>1369</v>
      </c>
      <c r="F55" s="16" t="s">
        <v>237</v>
      </c>
      <c r="G55" s="16" t="s">
        <v>318</v>
      </c>
      <c r="H55" s="16" t="s">
        <v>1404</v>
      </c>
      <c r="I55" s="16" t="s">
        <v>237</v>
      </c>
      <c r="J55" s="16" t="s">
        <v>1368</v>
      </c>
      <c r="K55" s="16" t="s">
        <v>1403</v>
      </c>
      <c r="L55" s="16"/>
    </row>
    <row r="56" customFormat="false" ht="15" hidden="false" customHeight="false" outlineLevel="0" collapsed="false">
      <c r="A56" s="16" t="s">
        <v>145</v>
      </c>
      <c r="B56" s="16" t="s">
        <v>322</v>
      </c>
      <c r="C56" s="16" t="s">
        <v>1364</v>
      </c>
      <c r="D56" s="16" t="s">
        <v>1405</v>
      </c>
      <c r="E56" s="16" t="s">
        <v>1381</v>
      </c>
      <c r="F56" s="16" t="s">
        <v>244</v>
      </c>
      <c r="G56" s="16" t="s">
        <v>324</v>
      </c>
      <c r="H56" s="16" t="s">
        <v>1406</v>
      </c>
      <c r="I56" s="16" t="s">
        <v>244</v>
      </c>
      <c r="J56" s="16" t="s">
        <v>1368</v>
      </c>
      <c r="K56" s="16" t="s">
        <v>1405</v>
      </c>
      <c r="L56" s="16"/>
    </row>
    <row r="57" customFormat="false" ht="15" hidden="false" customHeight="false" outlineLevel="0" collapsed="false">
      <c r="A57" s="16" t="s">
        <v>136</v>
      </c>
      <c r="B57" s="16" t="s">
        <v>281</v>
      </c>
      <c r="C57" s="16" t="s">
        <v>1364</v>
      </c>
      <c r="D57" s="16" t="s">
        <v>1407</v>
      </c>
      <c r="E57" s="16" t="s">
        <v>1372</v>
      </c>
      <c r="F57" s="16" t="s">
        <v>265</v>
      </c>
      <c r="G57" s="16" t="s">
        <v>283</v>
      </c>
      <c r="H57" s="16" t="s">
        <v>1408</v>
      </c>
      <c r="I57" s="16" t="s">
        <v>265</v>
      </c>
      <c r="J57" s="16" t="s">
        <v>1368</v>
      </c>
      <c r="K57" s="16" t="s">
        <v>1407</v>
      </c>
      <c r="L57" s="16"/>
    </row>
    <row r="58" customFormat="false" ht="15" hidden="false" customHeight="false" outlineLevel="0" collapsed="false">
      <c r="A58" s="16" t="s">
        <v>148</v>
      </c>
      <c r="B58" s="16" t="s">
        <v>327</v>
      </c>
      <c r="C58" s="16" t="s">
        <v>1364</v>
      </c>
      <c r="D58" s="16" t="s">
        <v>1409</v>
      </c>
      <c r="E58" s="16" t="s">
        <v>1381</v>
      </c>
      <c r="F58" s="16" t="s">
        <v>244</v>
      </c>
      <c r="G58" s="16" t="s">
        <v>329</v>
      </c>
      <c r="H58" s="16" t="s">
        <v>1410</v>
      </c>
      <c r="I58" s="16" t="s">
        <v>244</v>
      </c>
      <c r="J58" s="16" t="s">
        <v>1368</v>
      </c>
      <c r="K58" s="16" t="s">
        <v>1409</v>
      </c>
      <c r="L58" s="16"/>
    </row>
    <row r="59" customFormat="false" ht="15" hidden="false" customHeight="false" outlineLevel="0" collapsed="false">
      <c r="A59" s="16" t="s">
        <v>151</v>
      </c>
      <c r="B59" s="16" t="s">
        <v>332</v>
      </c>
      <c r="C59" s="16" t="s">
        <v>1364</v>
      </c>
      <c r="D59" s="16" t="s">
        <v>1411</v>
      </c>
      <c r="E59" s="16" t="s">
        <v>1366</v>
      </c>
      <c r="F59" s="16" t="s">
        <v>209</v>
      </c>
      <c r="G59" s="16" t="s">
        <v>334</v>
      </c>
      <c r="H59" s="16" t="s">
        <v>1412</v>
      </c>
      <c r="I59" s="16" t="s">
        <v>209</v>
      </c>
      <c r="J59" s="16" t="s">
        <v>1368</v>
      </c>
      <c r="K59" s="16" t="s">
        <v>1411</v>
      </c>
      <c r="L59" s="16"/>
    </row>
    <row r="60" customFormat="false" ht="15" hidden="false" customHeight="false" outlineLevel="0" collapsed="false">
      <c r="A60" s="16" t="s">
        <v>139</v>
      </c>
      <c r="B60" s="16" t="s">
        <v>311</v>
      </c>
      <c r="C60" s="16" t="s">
        <v>1364</v>
      </c>
      <c r="D60" s="16" t="s">
        <v>1413</v>
      </c>
      <c r="E60" s="16" t="s">
        <v>1372</v>
      </c>
      <c r="F60" s="16" t="s">
        <v>229</v>
      </c>
      <c r="G60" s="16" t="s">
        <v>313</v>
      </c>
      <c r="H60" s="16" t="s">
        <v>1414</v>
      </c>
      <c r="I60" s="16" t="s">
        <v>229</v>
      </c>
      <c r="J60" s="16" t="s">
        <v>1368</v>
      </c>
      <c r="K60" s="16" t="s">
        <v>1413</v>
      </c>
      <c r="L60" s="16"/>
    </row>
    <row r="61" customFormat="false" ht="15" hidden="false" customHeight="false" outlineLevel="0" collapsed="false">
      <c r="A61" s="16" t="s">
        <v>376</v>
      </c>
      <c r="B61" s="16" t="s">
        <v>377</v>
      </c>
      <c r="C61" s="16" t="s">
        <v>1364</v>
      </c>
      <c r="D61" s="16" t="s">
        <v>1415</v>
      </c>
      <c r="E61" s="16" t="s">
        <v>1381</v>
      </c>
      <c r="F61" s="16" t="s">
        <v>355</v>
      </c>
      <c r="G61" s="16" t="s">
        <v>379</v>
      </c>
      <c r="H61" s="16" t="s">
        <v>1416</v>
      </c>
      <c r="I61" s="16" t="s">
        <v>355</v>
      </c>
      <c r="J61" s="16" t="s">
        <v>1368</v>
      </c>
      <c r="K61" s="16" t="s">
        <v>1415</v>
      </c>
      <c r="L61" s="16"/>
    </row>
    <row r="62" customFormat="false" ht="15" hidden="false" customHeight="false" outlineLevel="0" collapsed="false">
      <c r="A62" s="16" t="s">
        <v>154</v>
      </c>
      <c r="B62" s="16" t="s">
        <v>338</v>
      </c>
      <c r="C62" s="16" t="s">
        <v>1364</v>
      </c>
      <c r="D62" s="16" t="s">
        <v>1417</v>
      </c>
      <c r="E62" s="16" t="s">
        <v>1372</v>
      </c>
      <c r="F62" s="16" t="s">
        <v>265</v>
      </c>
      <c r="G62" s="16" t="s">
        <v>340</v>
      </c>
      <c r="H62" s="16" t="s">
        <v>1418</v>
      </c>
      <c r="I62" s="16" t="s">
        <v>265</v>
      </c>
      <c r="J62" s="16" t="s">
        <v>1368</v>
      </c>
      <c r="K62" s="16" t="s">
        <v>1417</v>
      </c>
      <c r="L62" s="16"/>
    </row>
    <row r="63" customFormat="false" ht="15" hidden="false" customHeight="false" outlineLevel="0" collapsed="false">
      <c r="A63" s="16" t="s">
        <v>157</v>
      </c>
      <c r="B63" s="16" t="s">
        <v>344</v>
      </c>
      <c r="C63" s="16" t="s">
        <v>1364</v>
      </c>
      <c r="D63" s="16" t="s">
        <v>1419</v>
      </c>
      <c r="E63" s="16" t="s">
        <v>1372</v>
      </c>
      <c r="F63" s="16" t="s">
        <v>265</v>
      </c>
      <c r="G63" s="16" t="s">
        <v>346</v>
      </c>
      <c r="H63" s="16" t="s">
        <v>1420</v>
      </c>
      <c r="I63" s="16" t="s">
        <v>265</v>
      </c>
      <c r="J63" s="16" t="s">
        <v>1368</v>
      </c>
      <c r="K63" s="16" t="s">
        <v>1419</v>
      </c>
      <c r="L63" s="16"/>
    </row>
    <row r="64" customFormat="false" ht="15" hidden="false" customHeight="false" outlineLevel="0" collapsed="false">
      <c r="A64" s="16" t="s">
        <v>164</v>
      </c>
      <c r="B64" s="16" t="s">
        <v>358</v>
      </c>
      <c r="C64" s="16" t="s">
        <v>1364</v>
      </c>
      <c r="D64" s="16" t="s">
        <v>1421</v>
      </c>
      <c r="E64" s="16" t="s">
        <v>1381</v>
      </c>
      <c r="F64" s="16" t="s">
        <v>244</v>
      </c>
      <c r="G64" s="16" t="s">
        <v>360</v>
      </c>
      <c r="H64" s="16" t="s">
        <v>1422</v>
      </c>
      <c r="I64" s="16" t="s">
        <v>244</v>
      </c>
      <c r="J64" s="16" t="s">
        <v>1368</v>
      </c>
      <c r="K64" s="16" t="s">
        <v>1421</v>
      </c>
      <c r="L64" s="16"/>
    </row>
    <row r="65" customFormat="false" ht="15" hidden="false" customHeight="false" outlineLevel="0" collapsed="false">
      <c r="A65" s="16" t="s">
        <v>166</v>
      </c>
      <c r="B65" s="16" t="s">
        <v>363</v>
      </c>
      <c r="C65" s="16" t="s">
        <v>1364</v>
      </c>
      <c r="D65" s="16" t="s">
        <v>1423</v>
      </c>
      <c r="E65" s="16" t="s">
        <v>1372</v>
      </c>
      <c r="F65" s="16" t="s">
        <v>229</v>
      </c>
      <c r="G65" s="16" t="s">
        <v>365</v>
      </c>
      <c r="H65" s="16" t="s">
        <v>1424</v>
      </c>
      <c r="I65" s="16" t="s">
        <v>229</v>
      </c>
      <c r="J65" s="16" t="s">
        <v>1368</v>
      </c>
      <c r="K65" s="16" t="s">
        <v>1423</v>
      </c>
      <c r="L65" s="16"/>
    </row>
    <row r="66" customFormat="false" ht="15" hidden="false" customHeight="false" outlineLevel="0" collapsed="false">
      <c r="A66" s="16" t="s">
        <v>161</v>
      </c>
      <c r="B66" s="16" t="s">
        <v>352</v>
      </c>
      <c r="C66" s="16" t="s">
        <v>1364</v>
      </c>
      <c r="D66" s="16" t="s">
        <v>1425</v>
      </c>
      <c r="E66" s="16" t="s">
        <v>1381</v>
      </c>
      <c r="F66" s="16" t="s">
        <v>355</v>
      </c>
      <c r="G66" s="16" t="s">
        <v>354</v>
      </c>
      <c r="H66" s="16" t="s">
        <v>1426</v>
      </c>
      <c r="I66" s="16" t="s">
        <v>355</v>
      </c>
      <c r="J66" s="16" t="s">
        <v>1368</v>
      </c>
      <c r="K66" s="16" t="s">
        <v>1425</v>
      </c>
      <c r="L66" s="16"/>
    </row>
    <row r="67" customFormat="false" ht="15" hidden="false" customHeight="false" outlineLevel="0" collapsed="false">
      <c r="A67" s="16" t="s">
        <v>168</v>
      </c>
      <c r="B67" s="16" t="s">
        <v>368</v>
      </c>
      <c r="C67" s="16" t="s">
        <v>1364</v>
      </c>
      <c r="D67" s="16" t="s">
        <v>1427</v>
      </c>
      <c r="E67" s="16" t="s">
        <v>1369</v>
      </c>
      <c r="F67" s="16" t="s">
        <v>237</v>
      </c>
      <c r="G67" s="16" t="s">
        <v>370</v>
      </c>
      <c r="H67" s="16" t="s">
        <v>1428</v>
      </c>
      <c r="I67" s="16" t="s">
        <v>237</v>
      </c>
      <c r="J67" s="16" t="s">
        <v>1368</v>
      </c>
      <c r="K67" s="16" t="s">
        <v>1427</v>
      </c>
      <c r="L67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2026-10-02T15:50:02Z</dcterms:created>
  <dc:creator>openpyxl</dc:creator>
  <dc:description/>
  <dc:language>en-US</dc:language>
  <cp:lastModifiedBy/>
  <dcterms:modified xsi:type="dcterms:W3CDTF">2026-10-02T15:50:04Z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